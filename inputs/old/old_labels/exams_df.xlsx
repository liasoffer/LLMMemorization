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projects\LLMsForEducation\inputs\"/>
    </mc:Choice>
  </mc:AlternateContent>
  <xr:revisionPtr revIDLastSave="0" documentId="13_ncr:1_{78ADB8E2-A15C-4E99-A97E-352C5425E6DE}"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A126" i="1"/>
  <c r="A118" i="1"/>
  <c r="A110" i="1"/>
  <c r="A102" i="1"/>
  <c r="A99" i="1"/>
  <c r="A94" i="1"/>
  <c r="A91" i="1"/>
  <c r="A86" i="1"/>
  <c r="A83" i="1"/>
  <c r="A78" i="1"/>
  <c r="A75" i="1"/>
  <c r="A70" i="1"/>
  <c r="A69" i="1"/>
  <c r="A67" i="1"/>
  <c r="A66" i="1"/>
  <c r="A68" i="1"/>
  <c r="A71" i="1"/>
  <c r="A72" i="1"/>
  <c r="A73" i="1"/>
  <c r="A74" i="1"/>
  <c r="A76" i="1"/>
  <c r="A77" i="1"/>
  <c r="A79" i="1"/>
  <c r="A80" i="1"/>
  <c r="A81" i="1"/>
  <c r="A82" i="1"/>
  <c r="A84" i="1"/>
  <c r="A85" i="1"/>
  <c r="A87" i="1"/>
  <c r="A88" i="1"/>
  <c r="A89" i="1"/>
  <c r="A90" i="1"/>
  <c r="A92" i="1"/>
  <c r="A93" i="1"/>
  <c r="A95" i="1"/>
  <c r="A96" i="1"/>
  <c r="A97" i="1"/>
  <c r="A98" i="1"/>
  <c r="A100" i="1"/>
  <c r="A101" i="1"/>
  <c r="A103" i="1"/>
  <c r="A104" i="1"/>
  <c r="A105" i="1"/>
  <c r="A106" i="1"/>
  <c r="A107" i="1"/>
  <c r="A108" i="1"/>
  <c r="A109" i="1"/>
  <c r="A111" i="1"/>
  <c r="A112" i="1"/>
  <c r="A113" i="1"/>
  <c r="A114" i="1"/>
  <c r="A115" i="1"/>
  <c r="A116" i="1"/>
  <c r="A117" i="1"/>
  <c r="A119" i="1"/>
  <c r="A120" i="1"/>
  <c r="A121" i="1"/>
  <c r="A122" i="1"/>
  <c r="A123" i="1"/>
  <c r="A124" i="1"/>
  <c r="A125"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5" i="1"/>
  <c r="A246" i="1"/>
  <c r="A247" i="1"/>
  <c r="A248" i="1"/>
  <c r="A249" i="1"/>
  <c r="A250" i="1"/>
  <c r="A251" i="1"/>
  <c r="A252" i="1"/>
  <c r="A253" i="1"/>
  <c r="A254" i="1"/>
  <c r="A255" i="1"/>
  <c r="A256" i="1"/>
  <c r="A257" i="1"/>
  <c r="A258" i="1"/>
  <c r="A259" i="1"/>
  <c r="A260" i="1"/>
  <c r="A261" i="1"/>
  <c r="A262" i="1"/>
  <c r="A263" i="1"/>
  <c r="A264" i="1"/>
  <c r="A265" i="1"/>
  <c r="A266" i="1"/>
  <c r="A267" i="1"/>
  <c r="A268" i="1"/>
  <c r="A269" i="1"/>
  <c r="A270" i="1"/>
  <c r="A271" i="1"/>
  <c r="A272" i="1"/>
  <c r="A273" i="1"/>
  <c r="A274" i="1"/>
  <c r="A275" i="1"/>
  <c r="A276" i="1"/>
  <c r="A277" i="1"/>
  <c r="A278" i="1"/>
  <c r="A279" i="1"/>
  <c r="A280" i="1"/>
  <c r="A281" i="1"/>
  <c r="A282" i="1"/>
  <c r="A283" i="1"/>
  <c r="A284" i="1"/>
  <c r="A285" i="1"/>
  <c r="A286" i="1"/>
  <c r="A287" i="1"/>
  <c r="A288" i="1"/>
  <c r="A289" i="1"/>
  <c r="A290" i="1"/>
  <c r="A291" i="1"/>
  <c r="A292" i="1"/>
  <c r="A293" i="1"/>
  <c r="A294" i="1"/>
  <c r="A295" i="1"/>
  <c r="A296" i="1"/>
  <c r="A297" i="1"/>
  <c r="A298" i="1"/>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alcChain>
</file>

<file path=xl/sharedStrings.xml><?xml version="1.0" encoding="utf-8"?>
<sst xmlns="http://schemas.openxmlformats.org/spreadsheetml/2006/main" count="1418" uniqueCount="674">
  <si>
    <t>year</t>
  </si>
  <si>
    <t>semester</t>
  </si>
  <si>
    <t>moed</t>
  </si>
  <si>
    <t>question</t>
  </si>
  <si>
    <t>section</t>
  </si>
  <si>
    <t>points</t>
  </si>
  <si>
    <t>question_hebrew</t>
  </si>
  <si>
    <t>a</t>
  </si>
  <si>
    <t>b</t>
  </si>
  <si>
    <t>c</t>
  </si>
  <si>
    <t>solution_hebrew</t>
  </si>
  <si>
    <t>בדוגמה 1 ל-0 ל-אינסוף ניתן לראות כי מדובר בעץ "נחמד" אך לא עץ חיפוש</t>
  </si>
  <si>
    <t>d</t>
  </si>
  <si>
    <t>נתון מערך באורך n עם חזרות. רוצים לסדר מחדש את המערך בצורה ממוינת לפי השכיחות, כלומר תחילה יופיעו איברים נדירים ביותר ובסוף שכיחים ביותר. תארו אלגוריתם לינארי בתוחלת לפתרון הבעיה.</t>
  </si>
  <si>
    <t>לא נכון\nהפרש יכול להיות גדול עד O(log n). ניתן ליצור דוגמא קטנה יחסית שבה ההפרש הוא 2.</t>
  </si>
  <si>
    <t>נכון\nנשים את האיבר המינימלי בשורש (עומק 0). בבן הימני שלו נשים את האיבר השני בגודלו ומימינו נמשיך לשים את n/2 האיברים הגדולים ביותר בצד ימין של השרשרת ונשמור את log n האיברים הקטנים שנותרו ואת שאר האיברים נסדר בצד ימין.</t>
  </si>
  <si>
    <t>לא נכון\nלמשל ערימה שמכילה את המספרים 1..2^10 מכילה עץ אחד בלבד.</t>
  </si>
  <si>
    <t>נתן מערך A באורך n המכיל מספרים טבעיים מתחום חסום גדול. תארו אלגוריתם המחשב בזמן למדאי בתוחלת כמה זוגות אינדקסים שונים ישנם שהמרחק בין ערכיהם שווה למרחק ביניהם במערך. במילים אחרות, כמה זוגות i &lt; j קיימים כך שמתקיים |A[j] - A[i]| = j - i .</t>
  </si>
  <si>
    <t>נתן מערך A באורך n המכיל מספרים טבעיים מתחום חסום גדול. כעת נתון כי המספרים מגיעים מהתחום {1, 2, ..., 2^n}. תארו אלגוריתם יעיל ביותר במקרה הגרוע, המחשב כמה זוגות אינדקסים שונים ישנם שהמרחק בין ערכיהם שווה למרחק ביניהם במערך. במילים אחרות, כמה זוגות i &lt; j קיימים כך שמתקיים |A[j] - A[i]| = j - i. האלגוריתם צריך לעבוד בסיבוכיות מקום לינארית.</t>
  </si>
  <si>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delete(k) – מוחק עותק של המפתח k מהמבנה, זמן ריצה (O(log n. freq(k) – מחזירה את מספר האיברים בעלי מפתח k במבנה; יש להחזיר 0 אם k אינו מופיע במבנה. זמן ריצה (O(log n.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t>
  </si>
  <si>
    <t>תכננו מבנה נתונים השומר אוסף של מפתחות עם חזרות N, ומציין את מספר האיברים במבנה, חמיון את מספר האיברים השונים במבנה (כלומר מספר המפתחות השונים במבנה). שימו לב ש- n ≥ N . insert(k) – מכניס עותק של המפתח k למבנה. זמן ריצה (O(log n. freq(k) – מחזירה את מספר האיברים בעלי מפתח k במבנה; יש להחזיר 0 אם k אינו מופיע במבנה. זמן ריצה (O(1). mostFreq() – מחזיר את המפתח בעל השכיחות הגבוהה ביותר במבנה (אם יש מספר מפתחות שהם הכי שכיחים במבנה – יש להחזיר אחד מהם לבחירתכם). זמן ריצה (O(1). אם מעדכנים מבנה נתונים שנלמד בקורס, יש לציין רק את העדכונים שביצעתם במבנה. דוגמה של שימוש ב ADT על מבנה S מאותחל וריק: insert(46); insert(95); insert(95); freq(46) returns 2, freq(95) returns 3, mostFreq() returns 95; delete(95); delete(95); freq(46) returns 2, freq(95) returns 1, mostFreq() returns 46. היחס בין המספרים הוא בערכים חסומים, תארו יחדיו חסום המציאו את כל שלבי הפעולה בזמן ריצה (O(1 בתוחלת.</t>
  </si>
  <si>
    <t>עבור מערך A[1 ... n] המכיל n מספרים ממשיים, ונתון mA = min 1≤i≤n A[i], MA = max 1≤i≤n A[i]. הוכיחו כי קיימים 1 ≤ i ≠ j ≤ n עבורם |A[i] - A[j]| ≤ (MA - mA) / (n - 1). רמז: הוכיחו כי במערך B שמתקבל על ידי ביצוע מיון של המערך A קיים 1 ≤ i &lt; n המקיים B[i+1] - B[i] ≤ (MA - mA) / (n - 1).</t>
  </si>
  <si>
    <t>עבור מערך A[1 ... n] המכיל n מספרים ממשיים, ונתון mA = min 1≤i≤n A[i], MA = max 1≤i≤n A[i]. כתבו אלגוריתם המקבל כקלט מערך A[1 ... n] ומוצא זוג אינדקסים 1 ≤ i ≠ j ≤ n שמתקיים |A[i] - A[j]| ≤ (MA - mA) / (n - 1). על האלגוריתם לרוץ בזמן (O(n.</t>
  </si>
  <si>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א. הציעו מימוש שרץ בזמן (O(n log n (זמן גרוע, לא תלוי בערכו של k).</t>
  </si>
  <si>
    <t>תארו מבנה נתונים המייצג קבוצת איברים התומך בפעולות הבאות (ללא חזרות, במקרה הגרוע), כאשר n מסמן את גודל הקבוצה: Insert(x) – הכנסת האיבר x למבנה, סיבוכיות: (O(log n. Delete(x) – מחיקת האיבר x (הנתון כמעצביע לייצוג שלו במבנה), סיבוכיות: (O(log n. Search(x) – חיפוש האיבר x והחזרת מצביע לייצוג שלו במבנה, סיבוכיות: (O(log n. AlternatingDeletions(k) – מוחק מהמבנה את k האיברים שהיו במקור האינדקסים ה- i/k או i/k זוגי. במילים אחרות מוחקים את k האיברים הקטנים ביותר, את ה- k הבאים משאירים, את ה- k הבאים מוחקים וכן הלאה. סיבוכיות – כמפורט בסעיפים א+ב. ב. עבור k &lt; √n , הציעו מימוש שרץ בזמן (O(√n log n.</t>
  </si>
  <si>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שימו לב כי ייתכן שקטע הוא גם שמאלי וגם ימני יותר מקטע אחר. הפעולות הנדרשות הן: Insert(a,b) – מקבל a &lt; b ממשיים; מכניס למבנה קטע חדש (a,b) ומחזיר מצביע אליו. Delete(I) – מקבל מצביע I לקטע במבנה; מוחק אותו משם. Left() – מחזיר מצביע לקטע השמאלי ביותר במבנה. Right() – מחזיר מצביע לקטע הימני ביותר במבנה. Largest() – מחזיר מצביע לקטע הארוך ביותר במבנה. Expand(I,c) – מקבל מצביע I לקטע וממשי c &gt; 0; מרחיב את הקטע כך שאורכו יגדל ב- c ללא שינוי נקודת האמצע שלו. ניתן להניח שלאורך כל השימוש במבנה הנתונים לא נתקלים באותו מספר ממשי יותר מפעם אחת. מימשו את מבנה הנתונים כך ש- Delete (חייב בסיבוכיות (O(log n כאשר n הוא מספר הקטעים במבנה) ושאר הפעולות תיקחנה זמן קבוע. כל הזמנים הם amortized.</t>
  </si>
  <si>
    <t>אנו מעוניינים במבנה נתונים המחזיק קטעים על הישר. כל קטע הוא מהצורה (a,b) עבור מספרים ממשיים a &lt; b. האורך של (a,b) הוא המספר החיובי l = b - a ונקודת האמצע שלו היא המספר (a + b) / 2. הקטע (a,b) שמאלי יותר מהקטע (c,d) אם c &lt; a וזהו יותר אם d &gt; b. נניח כעת כי הערכים של קצות הקטעים מגיעים מתחום סדרי כללי. בנוסף נסיר את הפעולות Expand, Largest מה- ADT. תחת מודל ההשוואות, האם קיים מבנה נתונים המממש את Insert, Delete, Left, Right בסיבוכיות (O(log n?</t>
  </si>
  <si>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א. הציעו מבנה נתונים המממש את ה ADT בזמן אמורטייזד O(1) לכל אחת משלוש הפעולות. הערה: בשני הסעיפים סיבוכיות המקום צריכה להיות לינארית בכמות האיברים שבמבנה. </t>
  </si>
  <si>
    <t xml:space="preserve"> ADT להלן ה "תור משוכלל" השומר אוסף של איברים בצורת FIFO (first in - first out): enqueue(x) - הכנסת x לסוף התור. dequeue() - החזרת האיבר שבראש התור ומחיקתו מהתור. retrieve(i) – החזרת האיבר ה-i בתור (i=1 הוא הראשון בתור, i=n הוא האחרון בתור, כאשר n היא כמות האיברים בתור). ב. הציעו מבנה נתונים המממש את ה ADT בזמן WC O(1) לכל אחת משלוש הפעולות. הערה: בשני הסעיפים סיבוכיות המקום צריכה להיות לינארית בכמות האיברים שבמבנה. </t>
  </si>
  <si>
    <t xml:space="preserve"> נתון מערך A באורך n המכיל מספרים שלמים. תארו אלגוריתם הבודק בזמן לינארי בתוחלת האם קיים זוג איברים שונים שהמרחק בין ערכיהם שווה למרחק ביניהם במערך. במילים אחרות, האם קיימים i &lt; j כך שמתקיים |a_j - a_i| = j - i. </t>
  </si>
  <si>
    <t xml:space="preserve"> נתון מערך A באורך n המכיל מספרים שלמים. תארו אלגוריתם הבודק האם קיים זוג איברים שונים שהמרחק בין ערכיהם שווה למרחק ביניהם במערך. במילים אחרות, האם קיימים i &lt; j כך שמתקיים |a_j - a_i| = j - i. ב. כעת נתון כי המספרים מגיעים מהתחום {-n^2, ..., n^2}. תארו אלגוריתם יעיל ביותר במקרה הגרוע. למען הסר ספק, האלגוריתם צריך לעבוד בסיבוכיות מקום לינארית. </t>
  </si>
  <si>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א. הציעו מבנה נתונים המממש את ה ADT בזמן O(log n) עבור insert, delete, setFocus ובזמן O(log(|i-f|+2)) עבור select(i), כאשר f מציין את פרמטר ה "פוקוס" ו-n את כמות האיברים במבנה. </t>
  </si>
  <si>
    <t xml:space="preserve">להלן ADT לתחזוקת איברים עם מפתחות מתחום סדור. ל ADT ישנו פרמטר "פוקוס" שערכו הדיפולטיבי הוא 1 שיוגדר בהמשך. כל זמני הריצה בשאלה הם WC. insert(key, value) – הכנסת איבר עם מפתח key וערך value. delete(key) – מחיקת האיבר עם מפתח key. setFocus(f) – קובע את פרמטר ה "פוקוס" של ה ADT להיות f. נתון ש- 1 ≤ f ≤ n. select(i) - מחזיר את האיבר ה-i בגודלו. ב. האם קיים מימוש (תחת מודל ההשוואות) ל ADT המממש את O(log n) עבור insert, setFocus ואת שאר הפעולות באותה סיבוכיות כמו סעיף א'? </t>
  </si>
  <si>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א. הציעו מימוש התומך בזמני WC של O(1) עבור min ו- O(log n) עבור כל אחת משאר הפעולות. </t>
  </si>
  <si>
    <t xml:space="preserve"> ADT להלן ה "מחסנית משוכללת" השומר מפתחות מתחום סדור בצורת LIFO (last in first out): push(key) – הכנסת איבר עם מפתח key. pop() - מחיקת האיבר בראש המחסנית והחזרתו. min() - מחזיר את המפתח המינימלי. deleteMin() - מוחק את המפתח המינימלי. ב. הציעו מימוש התומך בזמני אמורטייזד של O(1) עבור min ו-push, ו- O(log n) עבור pop, deleteMin. </t>
  </si>
  <si>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א. נניח שבמקום לחלק את כל האיברים לחמישיות מחלקים 5/8 מתוכם לחמישיות ואת שאר 3/8 לשלישיות. בכל שלישייה או חמישייה מוצאים את החציון וממשיכים עם חציון החציונים כאיבר ציר. האם זמן הריצה של האלגוריתם עדיין לינארי? </t>
  </si>
  <si>
    <t xml:space="preserve"> נזכר באלגוריתם לפתרון בעיית הבחירה (Selection), שמחלק את האיברים לחמישיות, מוצא חציון בכל חמישייה, מוצא רקורסיבית את חציון החציונים, ומשתמש בו כאיבר ציר (pivot) לצורך partition וממשיך ברקורסיה בחלק המתאים. ב. עכשיו נחלק 70% מהאיברים לחמישיות ו 30% לשלישיות. האם זמן הריצה של האלגוריתם עדיין לינארי? הערה: ניתן להזניח בחישובי נוסחאות הרקורסיה את האפקט של עיגול ערכים שבריים לשלם הקרוב.</t>
  </si>
  <si>
    <t>קבעו האם הטענות הבאות נכונות או לא נכונות. אם הטענה נכונה, הסבירו בקצרה מדוע. אחרת, הפריכו. א. בעץ AVL, במסלול בין האיבר המינימלי לאיבר ה- בגודלו קיימים $O(log~k)$ צמתים נכון / לא נכון (הקיפו בעיגול)</t>
  </si>
  <si>
    <t xml:space="preserve">קבעו האם הטענות הבאות נכונות או לא נכונות. אם הטענה נכונה, הסבירו בקצרה מדוע. אחרת, הפריכו. ב. בערמת מינימום בינארית אשר מכילה לפחות שלושה איברים, החציון יכול להיות בכל עומק חוץ מ-0. (ניתן להניח שכל האיברים שונים ושמספר האיברים בערמה הוא אי-זוגי.) נכון / לא נכון (הקיפו בעיגול) </t>
  </si>
  <si>
    <t>קבעו האם הטענות הבאות נכונות או לא נכונות. אם הטענה נכונה, הסבירו בקצרה מדוע. אחרת, הפריכו. ג. בערמת מינימום בינארית האיבר ה- בגודלו חייב להופיע בעומק $O(log~k)$ נכון / לא נכון (הקיפו בעיגול)</t>
  </si>
  <si>
    <t xml:space="preserve">קבעו האם הטענות הבאות נכונות או לא נכונות. אם הטענה נכונה, הסבירו בקצרה מדוע. אחרת, הפריכו. ד. כל ערמה בינומית (לא עצלה) שמכילה את המספרים 99,...1 מורכבת מ-4 עצים בינומיים בדיוק. נכון / לא נכון (הקיפו בעיגול) </t>
  </si>
  <si>
    <t>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א. האם זמן הריצה של האלגוריתם עדיין לינארי? נמקו.</t>
  </si>
  <si>
    <t xml:space="preserve">נזכר באלגוריתם לפתרון בעיית הבחירה (Selection), שמחלק את האיברים לחמישיות, מוצא חציון בכל חמישייה, מוצא רקורסיבית את חציון החציונים, ומשתמש בו כאיבר ציר (pivot) שמשווה לכולם וממשיך ברקורסיה בחלק המתאים. נניח שבמקום למצוא את חציון החציונים, מוצאים את האחוזון ה-70 שלהם, כלומר האיבר ש- 70% מהחציונים (ערך תחתון) קטנים ממנו. ב. נמשיך להשתמש באחוזון ה-70, אך הפעם מחלקים לשביעיות במקום חמישיות. האם זמן הריצה של האלגוריתם עדיין לינארי? נמקו. </t>
  </si>
  <si>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סיבוכיות שלוש הפעולות האחרונות צריכה להיות טובה ביותר במקרה הגרוע.</t>
  </si>
  <si>
    <t>תארו מבנה נתונים המתחזק לכל היותר מספרים טבעיים מהתחום $\{1,...,2^{n}\}$, כאשר נתון מראש, ותומך בפעולות הבאות : • (Init(n – אתחול מבנה ריק עם פרמטר . סיבוכיות: (n) • (Insert(x – הכנסת x למבנה, ניתן להניח שאינו קיים. • (Delete(x מחיקת x מהמבנה בהינתן מצביע. • (SameReminder(x - הפעולה מחזירה כמה איברים במבנה זהים ל-x תחת מודולו n. נרצה לשנות את שלוש הפעולות האחרונות בצורה הבאה: • (Insert(x - הכנסת x למבנה, יש לבדוק שאינו קיים. • (Delete x מחיקת x מהמבנה ללא מצביע (בהינתן ערך מספרי). • (SameReminder(x - הפעולה מחזירה כמה איברים במבנה זהים ל- תחת מודולו $2^{\frac{n}{2}}$ תארו מבנה נתונים התומך בפעולות העדכניות בסיבוכיות זמן טובה ביותר בתוחלת.</t>
  </si>
  <si>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:פינוי המושב ה-1. סיבוכיות - Cancel i( </t>
  </si>
  <si>
    <t xml:space="preserve">באווירון של שרון ישנם n מושבים ברוחב הולך וגדל הממוספרים בין 1 ל- . כל נוסע שמגיע מקבל את המושב הפנוי הראשון שמתאים למידותיו. נניח כי הנוסעים יודעים מראש מהו המושב הראשון שמתאים להם אך לא יודעים אילו מושבים פנויים. • א. עזרו לשרון לממש מבנה נתונים שיתמוך בהקצאת המושבים : $Init(n)$ - אתחול מבנה נתונים המתאים ל- מושבים פנויים. סיבוכיות: $.O(n)$ (Book(i - תפיסת המושב הפנוי המינימלי כך ש- j והחזרתו, או הודעה שלא קיים. סיבוכיות: (logn • log n(. תארו מבנה נתונים המשפר אסימפטוטית את סיבוכיות Book באמורטייזד, מבלי לפגוע בסיבוכיות $.Init(n)$ </t>
  </si>
  <si>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t>
  </si>
  <si>
    <t>תארו מבנה נתונים המתחזק קבוצת איברים מתחום בעל סדר מלא ותומך בפעולות הבאות, כאשר מסמן את גודל הקבוצה : • (Init(A - אתחול המבנה בהינתן מערך A בגודל m. סיבוכיות: (m) • log n( :למבנה. סיבוכיות הכנסת האיבר – Insert(x( • (Delete x מחיקת האיבר x בהינתן מצביע לייצוג שלו במבנה. סיבוכיות: (logn • (CloseToMedian(k - החזרת k האיברים בעלי דרגה קרובה ביותר לחציון, בסדר ממוין. סיבוכיות: (klog לדוגמה, עבור 1,2,5,30,31], הפעולה CloseToMedian)3( תחזיר 3,5,20. נוותר על התמיכה בפעולה (Init(A (כלומר תמיד מתחילים בקבוצה ריקה) כדי לשפר את סיבוכיות (CloseToMedian(k להיות $,O(k)$, כך שסיבוכיות הכנסה ומחיקה נותרת זהה. תארו מבנה נתונים התומך בדרישות המעודכנות. פתרון בעל סיבוכיות $O(k+log~n)$ יזכה בניקוד חלקי.</t>
  </si>
  <si>
    <t>קבעו האם הטענות הבאות נכונות או לא נכונות. אם הטענה נכונה, הסבירו בקצרה מדוע. אחרת, הפריכו. א. הפרש העומקים המקסימלי בין כל זוג עלים בעץ AVL הוא 1. נכון / לא נכון</t>
  </si>
  <si>
    <t>קבעו האם הטענות הבאות נכונות או לא נכונות. אם הטענה נכונה, הסבירו בקצרה מדוע. אחרת, הפריכו. ב. בערמת מינימום בינארית עם לפחות 128 איברים, האיבר ה- [log] בגודלו יכול להיות בעומק 2. נכון / לא נכון</t>
  </si>
  <si>
    <t>קבעו האם הטענות הבאות נכונות או לא נכונות. אם הטענה נכונה, הסבירו בקצרה מדוע. אחרת, הפריכו. ג בערמת מינימום בינארית עם לפחות 128 איברים, האיבר ה- log n n בגודלו יכול להיות בעומק 2. נכון / לא נכון</t>
  </si>
  <si>
    <t>קבעו האם הטענות הבאות נכונות או לא נכונות. אם הטענה נכונה, הסבירו בקצרה מדוע. אחרת, הפריכו. ד. כל ערמה בינומית (לא עצלה) שמכילה לפחות את המספרים 99,...1 מורכבת מלפחות 4 עצים בינומיים. נכון / לא נכון</t>
  </si>
  <si>
    <t xml:space="preserve">הציעו אלגוריתם יעיל למיון n מספרים ממשיים בין $n^{100}-10$ עד כדי דיוק של אלפית, כלומר עבור כל זוג $a&lt;b$ מותר ל- להופיע קודם רק אם $b-a\le1/1000$ </t>
  </si>
  <si>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א. הציעו אלגוריתם הפותר את הבעיה בסיבוכיות $O(n~log\frac{n}{r})$. </t>
  </si>
  <si>
    <t xml:space="preserve">בשאלה זו נתבונן בבעיית המיון עד כדי בלוקים בגודל r. כלומר, בהינתן n איברים מתחום בעל סדר מלא כלשהו נרצה לסדר אותם מחדש $n/r-1$ בלוקים רציפים באורך ז כך שעבור $i&lt;j$ כל האיברים בבלוק i קטנים מכל האיברים בבלוק j. שימו לב שלא מובטח דבר על הסדר הפנימי בתוך כל בלוק. לשם פשטות, ניתן להניח כי n, r חזקות של 2. ב. תחת מודל ההשוואות, הציגו חסם תחתון הדוק לבעיה, כלומר $\Omega(n~log\frac{n}{r})$ רמז: העזרו בזהות $log~n!=n~log~n-\Theta(n)$ </t>
  </si>
  <si>
    <t xml:space="preserve">הציעו מימוש לADT הבא: insert(key) - הוספת המפתח key. זמן ריצה (log n). delete(key) - מחיקת key ממבנה הנתונים. זמן ריצה (log n). search(key) - מחזיר true אםם key שייך למבנה הנתונים. זמן ריצה (log n). select() - החזרת המפתח ה-1 בגודלו. זמן ריצה $O(log(i~mod[\frac{n}{2}]))$ </t>
  </si>
  <si>
    <t xml:space="preserve">זמני הריצה בסעיף זה הם אמורטייזד. הציעו מימוש לADT הבא: insert(key) - הוספת המפתח key. זמן ריצה (log n). delete (key) - מחיקת key ממבנה הנתונים. זמן ריצה (1)0. search key( - מחזיר true אם ורק אם key שייך למבנה הנתונים. זמן ריצה (log n). delete_even_rank - מוחק מהמילון את כל המפתחות מדרגה אי זוגית. זמן ריצה (1)0. </t>
  </si>
  <si>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א. הציעו מימוש בו init מתבצעת ב $\mathcal{O}(n)$ delMin insert</t>
  </si>
  <si>
    <t>להלן ADT לתחזוק אוסף של מפתחות ממשיים : (init(A - אתחול מבנה הנתונים מאיברי המערך A. (insert(key - הוספת המפתח key למבנה הנתונים. ()Min - מחזיר את המפתח המינימלי במבנה הנתונים. ()delMin - מחיקת המפתח המינימלי ממבנה הנתונים. (Mul(s - מכפיל את כל איברי מבנה הנתונים ב $s\in\mathbb{R}\backslash\{0\}$ שימו לב ש s יכול להיות שלילי. ב. נרצה בנוסף לממש את פעולת (Add(d המוסיפה $d\in\mathbb{R}$ לכל המפתחות במבנה הנתונים. על הפעולה לרוץ ב $.0(1)$ הציגו את השינויים הדרושים בכדי לתמוך בפעולה החדשה. אין לגרוע מזמני הריצה של שאר הפעולות.</t>
  </si>
  <si>
    <r>
      <t xml:space="preserve">נכון (הקיפו בעיגול) הרעיון דומה למה שראינו בfinger search tree בכיתה. המינימום נמצא באיבר שנגיע אליו אם נלך הכי שמאלה מהשורש. כעת נלך למעלה מהמינימום ונעצר בצומת הראשון x שבתת עץ שלו יש לפחות k איברים. נשים לב שהאיבר הk בגודלו נמצא בתת עץ הזה וכמו כן המינימום נמצא בתת עץ הזה. נשים לב שהילד השמאלי של השורש של התת עץ מכיל פחות מk איברים ולכן מתכונות AVL הגובה שלו הוא </t>
    </r>
    <r>
      <rPr>
        <sz val="11"/>
        <color theme="1"/>
        <rFont val="Arial"/>
        <family val="2"/>
      </rPr>
      <t>$O(\log k)$</t>
    </r>
    <r>
      <rPr>
        <sz val="11"/>
        <color theme="1"/>
        <rFont val="Calibri"/>
        <family val="2"/>
        <scheme val="minor"/>
      </rPr>
      <t xml:space="preserve">. נסיק שגם הגובה של x הוא </t>
    </r>
    <r>
      <rPr>
        <sz val="11"/>
        <color theme="1"/>
        <rFont val="Arial"/>
        <family val="2"/>
      </rPr>
      <t>$O(\log k)$</t>
    </r>
    <r>
      <rPr>
        <sz val="11"/>
        <color theme="1"/>
        <rFont val="Calibri"/>
        <family val="2"/>
        <scheme val="minor"/>
      </rPr>
      <t xml:space="preserve"> (הפרש הגבהים בין ילד לאבא שלו קטן שווה מ2). מכיוון שגם המינימום וגם האיבר הk בגודלו נמצאים בתת עץ שגובהו </t>
    </r>
    <r>
      <rPr>
        <sz val="11"/>
        <color theme="1"/>
        <rFont val="Arial"/>
        <family val="2"/>
      </rPr>
      <t>$O(\log k)$</t>
    </r>
    <r>
      <rPr>
        <sz val="11"/>
        <color theme="1"/>
        <rFont val="Calibri"/>
        <family val="2"/>
        <scheme val="minor"/>
      </rPr>
      <t xml:space="preserve"> וניתן להסיק את הטענה.</t>
    </r>
  </si>
  <si>
    <t>נכון (הקיפו בעיגול) נראה שניתן לשים את החציון בכל עומק שונה מאפס – נניח עומק k. נשים את החציון במסלול הימני ביותר מהשורש בעומק k. נדאג שהאבות הקדמונים של החציון יהיו הk איברים הכי קטנים (בסדר עולה כמובן כדי לשמור על כלל הערימה). בתת עץ של החציון נשים את האיברים הכי גדולים תוך כדי שאנחנו שומרים על כלל הערימה (בהתאם למספר האיברים שצריכים לשבת שם) – ניתן לראות שיש מספיק איברים גדולים מהחציון כדי למלא תת עץ זה. את שאר האיברים נשים בשאר עץ הערימה (שוב תוך שמירה על כלל הערימה).</t>
  </si>
  <si>
    <t>לא נכון (הקיפו בעיגול) נראה דוגמא נגדית - ניקח את k האיברים הכי קטנים ונשים אותם במסלול נגד יד שמאלי מהשורש בסדר עולה. נשים לב שניתן למלא את הערימה בשאר האיברים באופן ששומר על כלל הערימה. האיבר הk בגודלו יושב בעומק k.</t>
  </si>
  <si>
    <t>נכון (הקיפו בעיגול) בערימה בינומית רגילה יש לכל היותר עץ בינומי אחד מכל דרגה. סוגי העצים הבינומיים בערימה נקבעים באופן חד ערכי ממספר האיברים בערימה לפי הייצוג הבינארי. בערימה שמכילה 99 איברים יהיו העצים B0,B1,B5,B6.</t>
  </si>
  <si>
    <r>
      <t xml:space="preserve">בכל שלב ברקורסיה נוריד לפחות </t>
    </r>
    <r>
      <rPr>
        <sz val="11"/>
        <color theme="1"/>
        <rFont val="Arial"/>
        <family val="2"/>
      </rPr>
      <t>$9/50n = 0.3 * 3/5 * n$</t>
    </r>
    <r>
      <rPr>
        <sz val="11"/>
        <color theme="1"/>
        <rFont val="Calibri"/>
        <family val="2"/>
        <scheme val="minor"/>
      </rPr>
      <t xml:space="preserve"> איברים. לכן נוסחת הרקורסיה היא </t>
    </r>
    <r>
      <rPr>
        <sz val="11"/>
        <color theme="1"/>
        <rFont val="Arial"/>
        <family val="2"/>
      </rPr>
      <t>$T(n) = T(n/5) + T(41/50n) + O(n)$</t>
    </r>
    <r>
      <rPr>
        <sz val="11"/>
        <color theme="1"/>
        <rFont val="Calibri"/>
        <family val="2"/>
        <scheme val="minor"/>
      </rPr>
      <t xml:space="preserve"> מכיוון ש </t>
    </r>
    <r>
      <rPr>
        <sz val="11"/>
        <color theme="1"/>
        <rFont val="Arial"/>
        <family val="2"/>
      </rPr>
      <t>$51/50 = 1/5 + 41/50 &gt; 1$</t>
    </r>
    <r>
      <rPr>
        <sz val="11"/>
        <color theme="1"/>
        <rFont val="Calibri"/>
        <family val="2"/>
        <scheme val="minor"/>
      </rPr>
      <t xml:space="preserve"> הפתרון איננו לינארי.</t>
    </r>
  </si>
  <si>
    <r>
      <t xml:space="preserve">עכשיו בכל שלב ברקורסיה נוריד לפחות </t>
    </r>
    <r>
      <rPr>
        <sz val="11"/>
        <color theme="1"/>
        <rFont val="Arial"/>
        <family val="2"/>
      </rPr>
      <t>$12/70n = 0.3 * 4/7 * n$</t>
    </r>
    <r>
      <rPr>
        <sz val="11"/>
        <color theme="1"/>
        <rFont val="Calibri"/>
        <family val="2"/>
        <scheme val="minor"/>
      </rPr>
      <t xml:space="preserve"> איברים. לכן נוסחת הרקורסיה היא </t>
    </r>
    <r>
      <rPr>
        <sz val="11"/>
        <color theme="1"/>
        <rFont val="Arial"/>
        <family val="2"/>
      </rPr>
      <t>$T(n) = T(n/7) + T(58/70n) + O(n)$</t>
    </r>
    <r>
      <rPr>
        <sz val="11"/>
        <color theme="1"/>
        <rFont val="Calibri"/>
        <family val="2"/>
        <scheme val="minor"/>
      </rPr>
      <t xml:space="preserve"> מכיוון ש </t>
    </r>
    <r>
      <rPr>
        <sz val="11"/>
        <color theme="1"/>
        <rFont val="Arial"/>
        <family val="2"/>
      </rPr>
      <t>$68/70 = 1/7 + 58/70 &lt; 1$</t>
    </r>
    <r>
      <rPr>
        <sz val="11"/>
        <color theme="1"/>
        <rFont val="Calibri"/>
        <family val="2"/>
        <scheme val="minor"/>
      </rPr>
      <t xml:space="preserve"> הפתרון הוא לינארי.</t>
    </r>
  </si>
  <si>
    <r>
      <t xml:space="preserve">יש וריאציות רבות לפתרון של תרגיל זה. פתרון אפשרי הוא להחזיק מערך שאריות בגודל n (ידוע מראש) כאשר בכל תא נחזיק רשימה מקושרת עם שדה size. אתחול : הקצאת מערך ואת הרשימות הריקות </t>
    </r>
    <r>
      <rPr>
        <sz val="11"/>
        <color theme="1"/>
        <rFont val="Arial"/>
        <family val="2"/>
      </rPr>
      <t>$O(n)$</t>
    </r>
    <r>
      <rPr>
        <sz val="11"/>
        <color theme="1"/>
        <rFont val="Calibri"/>
        <family val="2"/>
        <scheme val="minor"/>
      </rPr>
      <t xml:space="preserve">. (אפשר גם בזמן קבוע כמו שלמדנו.) הכנסה : חישוב אינדקס התא הרלוונטי על ידי </t>
    </r>
    <r>
      <rPr>
        <sz val="11"/>
        <color theme="1"/>
        <rFont val="Arial"/>
        <family val="2"/>
      </rPr>
      <t>$x \pmod n$</t>
    </r>
    <r>
      <rPr>
        <sz val="11"/>
        <color theme="1"/>
        <rFont val="Calibri"/>
        <family val="2"/>
        <scheme val="minor"/>
      </rPr>
      <t xml:space="preserve"> (בזמן קבוע) והכנסה לרשימה המקושרת המתאימה תוך עדכון שדה size. מחיקה : בהינתן מצביע למחוק מרשימה נעשה בזמן קבוע, כמו כן אין בעיה לעדכן את שדה ה-size כי אנחנו יכולים לחשב בהינתן x באיזה רשימה הוא נמצא בזמן קבוע או לחלופין לשמור בכל צומת מצביע לראש הרשימה תוך ניצול העובדה שאין איחודים. שארית : בהינתן האיבר ניגש לתא המתאים במערך ונחזיר את שדה הגודל של הרשימה - </t>
    </r>
    <r>
      <rPr>
        <sz val="11"/>
        <color theme="1"/>
        <rFont val="Arial"/>
        <family val="2"/>
      </rPr>
      <t>$O(1)$</t>
    </r>
    <r>
      <rPr>
        <sz val="11"/>
        <color theme="1"/>
        <rFont val="Calibri"/>
        <family val="2"/>
        <scheme val="minor"/>
      </rPr>
      <t>.</t>
    </r>
  </si>
  <si>
    <r>
      <t xml:space="preserve">מאתחלים שתי טבלאות hash. מכיוון שהטווח של האיברים ידוע מראש וחסום אפשר להגריל פונקציה ממשפחה אוניברסלית שתקיים את התכונות הרצויות. טבלה אחת תחזיק את האיברים עצמם (מפתח איבר) ואילו טבלה שניה תספור את כמות המופעים שראינו שארית מסוימת (מפתח שארית וערך counter). אתחול : ניצור שתי טבלאות hash בגודל </t>
    </r>
    <r>
      <rPr>
        <sz val="11"/>
        <color theme="1"/>
        <rFont val="Arial"/>
        <family val="2"/>
      </rPr>
      <t>$O(n)$</t>
    </r>
    <r>
      <rPr>
        <sz val="11"/>
        <color theme="1"/>
        <rFont val="Calibri"/>
        <family val="2"/>
        <scheme val="minor"/>
      </rPr>
      <t xml:space="preserve"> במימוש chaining. (n ידוע מראש.) הכנסה : בודקים קודם בטבלת האיברים, במידה ונמצא אז נעצור. במידה והאיבר לא קיים אז נכניס לטבלה הראשונה ובנוסף נגדיל את ה counter של הטבלה השניה כאשר נכנס עם המפתח </t>
    </r>
    <r>
      <rPr>
        <sz val="11"/>
        <color theme="1"/>
        <rFont val="Arial"/>
        <family val="2"/>
      </rPr>
      <t>$x \pmod 2^{n/2}$</t>
    </r>
    <r>
      <rPr>
        <sz val="11"/>
        <color theme="1"/>
        <rFont val="Calibri"/>
        <family val="2"/>
        <scheme val="minor"/>
      </rPr>
      <t xml:space="preserve">. במידה ולא קיים בטבלה השניה נאתחל עם 1. מחיקה : שוב נבדוק אם קיים. במידה ולא קיים נעצור, אחרת נוציא מהטבלה הראשונה ונחסר 1 מה counter של הטבלה השניה. שארית : ניגש לטבלה השניה עם הערך </t>
    </r>
    <r>
      <rPr>
        <sz val="11"/>
        <color theme="1"/>
        <rFont val="Arial"/>
        <family val="2"/>
      </rPr>
      <t>$x \pmod 2^{n/2}$</t>
    </r>
    <r>
      <rPr>
        <sz val="11"/>
        <color theme="1"/>
        <rFont val="Calibri"/>
        <family val="2"/>
        <scheme val="minor"/>
      </rPr>
      <t xml:space="preserve"> ונחזיר את הערך שנמצא שם (אפס במידה והמפתח לא קיים). כל הפעולות חוץ מהאתחול מתבצעות ב-</t>
    </r>
    <r>
      <rPr>
        <sz val="11"/>
        <color theme="1"/>
        <rFont val="Arial"/>
        <family val="2"/>
      </rPr>
      <t>$O(1)$</t>
    </r>
    <r>
      <rPr>
        <sz val="11"/>
        <color theme="1"/>
        <rFont val="Calibri"/>
        <family val="2"/>
        <scheme val="minor"/>
      </rPr>
      <t xml:space="preserve"> בתוחלת (וגם את האתחול אפשר).</t>
    </r>
  </si>
  <si>
    <t>ניתן לפתור כמו שאלה 3 תרגיל בית 3, משתמשים בעץ AVL עם שדות size שיחזיק את המושבים התפוסים. בפעולה Init מאתחלים את העץ בזמן קבוע. בפעולה Book קוראים ל-NextMissingAfter(i), מקבלים j, ומכניסים אותו לעץ – זמן ריצה לוגריתמי. בפעולה Cancel פשוט מוחקים מהעץ – שוב זמן לוגריתמי. פתרון אחר : פתרון פשוט יותר (אך עם זמן אתחול לינארי המותר בשאלה) הוא להחזיק עץ AVL של המושבים הפנויים במקום התפוסים.</t>
  </si>
  <si>
    <r>
      <t xml:space="preserve">נאתחל מערך ריק באורך n בזמן </t>
    </r>
    <r>
      <rPr>
        <sz val="11"/>
        <color theme="1"/>
        <rFont val="Arial"/>
        <family val="2"/>
      </rPr>
      <t>$O(1)$</t>
    </r>
    <r>
      <rPr>
        <sz val="11"/>
        <color theme="1"/>
        <rFont val="Calibri"/>
        <family val="2"/>
        <scheme val="minor"/>
      </rPr>
      <t xml:space="preserve"> כמו שלמדנו בכיתה. נשתמש במבנה UF כאשר האיברים יהיו מושבים והקבוצות רצפים של מושבים תפוסים, כך שכל נציג ישמור מתי הרצף מסתיים. במערך נשמור לכל מושב האם פנוי ואת המצביע ב-UF במידה וקיים. בפעולה Book אם המושב i פנוי מסמנים במערך כעט תפוס, יוצרים עבורו איבר ב-UF ומאחדים עם המושבים התפוסים הסמוכים לו – הערך בנציג החדש יהיה המקסימלי מבין הישנים ו-i. במידה והמושב i תפוס, ניגשים לנציג שלו במבנה UF כדי למצוא מתי הרצף נגמר ותופסים את המושב הריק לאחריו באותה הצורה. זמן ריצה </t>
    </r>
    <r>
      <rPr>
        <sz val="11"/>
        <color theme="1"/>
        <rFont val="Arial"/>
        <family val="2"/>
      </rPr>
      <t>$O(\alpha(n))$</t>
    </r>
    <r>
      <rPr>
        <sz val="11"/>
        <color theme="1"/>
        <rFont val="Calibri"/>
        <family val="2"/>
        <scheme val="minor"/>
      </rPr>
      <t xml:space="preserve"> באמורטייזד. ניתן גם לתחזק במבנה UF קבוצות כך שכל קבוצה היא מושב ריק ורצף התפוסים שלפניו, כך שבנציג שמור מי הריק (המקסימלי), מה שמקל קצת על טיפול במקרים.</t>
    </r>
  </si>
  <si>
    <r>
      <t xml:space="preserve">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t>
    </r>
    <r>
      <rPr>
        <sz val="11"/>
        <color theme="1"/>
        <rFont val="Arial"/>
        <family val="2"/>
      </rPr>
      <t>$O(k \log k)$</t>
    </r>
    <r>
      <rPr>
        <sz val="11"/>
        <color theme="1"/>
        <rFont val="Calibri"/>
        <family val="2"/>
        <scheme val="minor"/>
      </rPr>
      <t>, הופכים את הסדר של הקטנים, ומאחדים.</t>
    </r>
  </si>
  <si>
    <t>פתרון הסעיף הקודם: נשתמש ברעיון דומה לזה שראינו בתרגיל 8 (ערימות בינאריות) שאלה 3ב. נחזיק ערימת מקסימום בינארית של מחצית האיברים הקטנים וערימת מינימום בינארית של מחצית האיברים הגדולים, בנוסף לגודלן. תמיד המפתחות בערימת המקסימום קטנים מאלו בערימת המינימום, וגודל ערימת המקסימום פחות המינימום יהיה אפס או אחד (לכן החציון תמיד מקסימום הקטנים – גישה בזמן קבוע). הכנסה, מחיקה ואתחול כמו שראינו :
• אתחול – מוצאים חציון בזמן לינארי (חציון החציונים), מחלקים לפי (partition) את המערך ומכל צד בונים ערימה בינארית מתאימה, זמן לינארי סה"כ.
• הכנסה/מחיקה – משווים לחציון ומכניסים/מוחקים מהערימה המתאימה. לאחר מכן במידה והן כבר לא מאוזנות (הפרש 2 או מינוס 1) מוחקים את שורש הערימה בעלת יותר מפתחות ומכניסים לשנייה. מספר קבוע של הכנסות/מחיקות בערימה בינארית, סיבוכיות לוגריתמית.
• קרובים לחציון – כדי להחזיר את k האיברים בעלי דרגה קרובה ביותר לחציון משתמשים באלגוריתם שראינו בתרגיל בית 4 שאלה 3 : מכל ערימה בינארית מחלצים את k/2 הקרובים ביותר למינימום/מקסימום בסדר ממוין בזמן $O(k \log k)$, הופכים את הסדר של הקטנים, ומאחדים. פתרון הסעיף הנוכחי: אותו רעיון כמו סעיף א' רק שמשתמשים בעצי AVL (שלא נוכל לאתחל בזמן לינארי) עם מצביעים למינימום ולמקסימום במקום ערימות בינאריות. הכנסה ומחיקה בזמן לוגריתמי באופן דומה.
הפעם כדי להחזיר את הקרובים ביותר לחציון משתמשים במה שלמדנו בתרגיל : ניתן להחזיר מיון של k הקטנים בעץ AVL עם מצביעים למינימום בזמן $O(k)$ (ובאופן סימטרי עבור הגדולים) ע"י גישה למינימום ולאחר מכן k קריאות עוקב.
פתרון אחר : עץ AVL עם שדות size,pred,succ בכל צומת ומצביע לחציון. ניתן לתחזק שדות עוקב וקודם מבלי לפגוע בסיבוכיות כי בכל הכנסה ומחיקה ניגשים לעוקב ולקודם בזמן לוגריתמי ומעדכנים מספר קבוע של מצביעים. חציון נמצא בזמן לוגריתמי לאחר כל הכנסה/מחיקה (אפשר גם רק בעזרת מספר האיברים במבנה ושדות עוקב/קודם).
כדי להחזיר את k האיברים בעלי דרגה קרובה ביותר לחציון, ניגשים לחציון והולכים ממנו k/2 צעדים אחורה (בעזרת המצביעים), לאחר מכן הולכים k צעדים קדימה ומדפיסים את האיברים.</t>
  </si>
  <si>
    <r>
      <t xml:space="preserve">לא נכון (הקיפו בעיגול) נסמן את הגובה/עומק של העץ ב- </t>
    </r>
    <r>
      <rPr>
        <sz val="11"/>
        <color theme="1"/>
        <rFont val="Arial"/>
        <family val="2"/>
      </rPr>
      <t>$h$</t>
    </r>
    <r>
      <rPr>
        <sz val="11"/>
        <color theme="1"/>
        <rFont val="Calibri"/>
        <family val="2"/>
        <scheme val="minor"/>
      </rPr>
      <t xml:space="preserve">. נשים לב שמספר הצמתים בתת עץ של כל צומת בעומק 2 הוא לפחות 2 בחזקת </t>
    </r>
    <r>
      <rPr>
        <sz val="11"/>
        <color theme="1"/>
        <rFont val="Arial"/>
        <family val="2"/>
      </rPr>
      <t>$h-3$</t>
    </r>
    <r>
      <rPr>
        <sz val="11"/>
        <color theme="1"/>
        <rFont val="Calibri"/>
        <family val="2"/>
        <scheme val="minor"/>
      </rPr>
      <t xml:space="preserve"> (הרמה ה-</t>
    </r>
    <r>
      <rPr>
        <sz val="11"/>
        <color theme="1"/>
        <rFont val="Arial"/>
        <family val="2"/>
      </rPr>
      <t>$h-1$</t>
    </r>
    <r>
      <rPr>
        <sz val="11"/>
        <color theme="1"/>
        <rFont val="Calibri"/>
        <family val="2"/>
        <scheme val="minor"/>
      </rPr>
      <t xml:space="preserve"> חייבת להיות מלאה). מספר הצמתים באופן כללי בעץ קטן שווה מ- 2 בחזקת </t>
    </r>
    <r>
      <rPr>
        <sz val="11"/>
        <color theme="1"/>
        <rFont val="Arial"/>
        <family val="2"/>
      </rPr>
      <t>$h$</t>
    </r>
    <r>
      <rPr>
        <sz val="11"/>
        <color theme="1"/>
        <rFont val="Calibri"/>
        <family val="2"/>
        <scheme val="minor"/>
      </rPr>
      <t xml:space="preserve"> (ניתן לחסום קצת יותר טוב אבל אין צורך). לכן לפחות </t>
    </r>
    <r>
      <rPr>
        <sz val="11"/>
        <color theme="1"/>
        <rFont val="Arial"/>
        <family val="2"/>
      </rPr>
      <t>$1/8$</t>
    </r>
    <r>
      <rPr>
        <sz val="11"/>
        <color theme="1"/>
        <rFont val="Calibri"/>
        <family val="2"/>
        <scheme val="minor"/>
      </rPr>
      <t xml:space="preserve"> מהצמתים צריכים להיות גדולים מהאיבר ה-</t>
    </r>
    <r>
      <rPr>
        <sz val="11"/>
        <color theme="1"/>
        <rFont val="Arial"/>
        <family val="2"/>
      </rPr>
      <t>$n - \log n$</t>
    </r>
    <r>
      <rPr>
        <sz val="11"/>
        <color theme="1"/>
        <rFont val="Calibri"/>
        <family val="2"/>
        <scheme val="minor"/>
      </rPr>
      <t xml:space="preserve">. אבל </t>
    </r>
    <r>
      <rPr>
        <sz val="11"/>
        <color theme="1"/>
        <rFont val="Arial"/>
        <family val="2"/>
      </rPr>
      <t>$n - \log n &lt; n/8$</t>
    </r>
    <r>
      <rPr>
        <sz val="11"/>
        <color theme="1"/>
        <rFont val="Calibri"/>
        <family val="2"/>
        <scheme val="minor"/>
      </rPr>
      <t xml:space="preserve"> לכל </t>
    </r>
    <r>
      <rPr>
        <sz val="11"/>
        <color theme="1"/>
        <rFont val="Arial"/>
        <family val="2"/>
      </rPr>
      <t>$n$</t>
    </r>
    <r>
      <rPr>
        <sz val="11"/>
        <color theme="1"/>
        <rFont val="Calibri"/>
        <family val="2"/>
        <scheme val="minor"/>
      </rPr>
      <t xml:space="preserve"> גדול מספיק (גדול מ- 128) ולכן זה לא יתכן.</t>
    </r>
  </si>
  <si>
    <r>
      <t xml:space="preserve">נשתמש במילון הממומש בעזרת טבלת hash עם chaining בגודל </t>
    </r>
    <r>
      <rPr>
        <sz val="11"/>
        <color theme="1"/>
        <rFont val="Arial"/>
        <family val="2"/>
      </rPr>
      <t>$O(n)$</t>
    </r>
    <r>
      <rPr>
        <sz val="11"/>
        <color theme="1"/>
        <rFont val="Calibri"/>
        <family val="2"/>
        <scheme val="minor"/>
      </rPr>
      <t xml:space="preserve">. סורקים את איברי המערך משמאל לימין, ולכל איבר </t>
    </r>
    <r>
      <rPr>
        <sz val="11"/>
        <color theme="1"/>
        <rFont val="Arial"/>
        <family val="2"/>
      </rPr>
      <t>$x$</t>
    </r>
    <r>
      <rPr>
        <sz val="11"/>
        <color theme="1"/>
        <rFont val="Calibri"/>
        <family val="2"/>
        <scheme val="minor"/>
      </rPr>
      <t xml:space="preserve">: מחפשים את </t>
    </r>
    <r>
      <rPr>
        <sz val="11"/>
        <color theme="1"/>
        <rFont val="Arial"/>
        <family val="2"/>
      </rPr>
      <t>$x$</t>
    </r>
    <r>
      <rPr>
        <sz val="11"/>
        <color theme="1"/>
        <rFont val="Calibri"/>
        <family val="2"/>
        <scheme val="minor"/>
      </rPr>
      <t xml:space="preserve"> במילון, אם לא קיים נכניס אותו עם </t>
    </r>
    <r>
      <rPr>
        <sz val="11"/>
        <color theme="1"/>
        <rFont val="Arial"/>
        <family val="2"/>
      </rPr>
      <t>$info = 1$</t>
    </r>
    <r>
      <rPr>
        <sz val="11"/>
        <color theme="1"/>
        <rFont val="Calibri"/>
        <family val="2"/>
        <scheme val="minor"/>
      </rPr>
      <t xml:space="preserve">, אחרת נגדיל ב-1 את שדה ה-info שלו. בסיום התהליך המילון ממפה כל איבר לשכיחות שלו במערך. זמן ריצה – </t>
    </r>
    <r>
      <rPr>
        <sz val="11"/>
        <color theme="1"/>
        <rFont val="Arial"/>
        <family val="2"/>
      </rPr>
      <t>$O(n)$</t>
    </r>
    <r>
      <rPr>
        <sz val="11"/>
        <color theme="1"/>
        <rFont val="Calibri"/>
        <family val="2"/>
        <scheme val="minor"/>
      </rPr>
      <t xml:space="preserve"> בתוחלת, כיוון שכל פעולת מילון תעלה </t>
    </r>
    <r>
      <rPr>
        <sz val="11"/>
        <color theme="1"/>
        <rFont val="Arial"/>
        <family val="2"/>
      </rPr>
      <t>$O(1)$</t>
    </r>
    <r>
      <rPr>
        <sz val="11"/>
        <color theme="1"/>
        <rFont val="Calibri"/>
        <family val="2"/>
        <scheme val="minor"/>
      </rPr>
      <t xml:space="preserve"> בתוחלת. כעת מאתחלים מערך שכיחויות באורך </t>
    </r>
    <r>
      <rPr>
        <sz val="11"/>
        <color theme="1"/>
        <rFont val="Arial"/>
        <family val="2"/>
      </rPr>
      <t>$n$</t>
    </r>
    <r>
      <rPr>
        <sz val="11"/>
        <color theme="1"/>
        <rFont val="Calibri"/>
        <family val="2"/>
        <scheme val="minor"/>
      </rPr>
      <t>, שבו בתא ה-</t>
    </r>
    <r>
      <rPr>
        <sz val="11"/>
        <color theme="1"/>
        <rFont val="Arial"/>
        <family val="2"/>
      </rPr>
      <t>$i$</t>
    </r>
    <r>
      <rPr>
        <sz val="11"/>
        <color theme="1"/>
        <rFont val="Calibri"/>
        <family val="2"/>
        <scheme val="minor"/>
      </rPr>
      <t xml:space="preserve"> תהיה רשימה מקושרת של כל האיברים בעלי שכיחות </t>
    </r>
    <r>
      <rPr>
        <sz val="11"/>
        <color theme="1"/>
        <rFont val="Arial"/>
        <family val="2"/>
      </rPr>
      <t>$i$</t>
    </r>
    <r>
      <rPr>
        <sz val="11"/>
        <color theme="1"/>
        <rFont val="Calibri"/>
        <family val="2"/>
        <scheme val="minor"/>
      </rPr>
      <t xml:space="preserve">. סורקים את כל רשומות המילון וכל איבר מכניסים בזמן קבוע לרשימה המקושרת בתא המתאים לשכיחותו (ניתן גם לתחזק תוך כדי בניית המילון). לסיום סורקים את מערך השכיחויות משמאל לימין ופולטים את הרשימות לפי הסדר. זמן ריצה של החלק השני – </t>
    </r>
    <r>
      <rPr>
        <sz val="11"/>
        <color theme="1"/>
        <rFont val="Arial"/>
        <family val="2"/>
      </rPr>
      <t>$O(n+n) = O(n)$</t>
    </r>
    <r>
      <rPr>
        <sz val="11"/>
        <color theme="1"/>
        <rFont val="Calibri"/>
        <family val="2"/>
        <scheme val="minor"/>
      </rPr>
      <t xml:space="preserve"> לסריקת מערך באורך </t>
    </r>
    <r>
      <rPr>
        <sz val="11"/>
        <color theme="1"/>
        <rFont val="Arial"/>
        <family val="2"/>
      </rPr>
      <t>$n$</t>
    </r>
    <r>
      <rPr>
        <sz val="11"/>
        <color theme="1"/>
        <rFont val="Calibri"/>
        <family val="2"/>
        <scheme val="minor"/>
      </rPr>
      <t xml:space="preserve"> שמכיל </t>
    </r>
    <r>
      <rPr>
        <sz val="11"/>
        <color theme="1"/>
        <rFont val="Arial"/>
        <family val="2"/>
      </rPr>
      <t>$n$</t>
    </r>
    <r>
      <rPr>
        <sz val="11"/>
        <color theme="1"/>
        <rFont val="Calibri"/>
        <family val="2"/>
        <scheme val="minor"/>
      </rPr>
      <t xml:space="preserve"> איברים ברשימות. סה"כ זמן ריצה – </t>
    </r>
    <r>
      <rPr>
        <sz val="11"/>
        <color theme="1"/>
        <rFont val="Arial"/>
        <family val="2"/>
      </rPr>
      <t>$O(n)$</t>
    </r>
    <r>
      <rPr>
        <sz val="11"/>
        <color theme="1"/>
        <rFont val="Calibri"/>
        <family val="2"/>
        <scheme val="minor"/>
      </rPr>
      <t xml:space="preserve"> בתוחלת.</t>
    </r>
  </si>
  <si>
    <r>
      <t xml:space="preserve">נכפול את המספרים ב-1000 ונעגל כלפי מטה, כאשר נשמור ב-info את הערך המקורי. ניתן למיין בעזרת radix sort בזמן לינארי מפתחות שלמים בטווח </t>
    </r>
    <r>
      <rPr>
        <sz val="11"/>
        <color theme="1"/>
        <rFont val="Arial"/>
        <family val="2"/>
      </rPr>
      <t>$\{0, \dots, n^{101}\}$</t>
    </r>
    <r>
      <rPr>
        <sz val="11"/>
        <color theme="1"/>
        <rFont val="Calibri"/>
        <family val="2"/>
        <scheme val="minor"/>
      </rPr>
      <t xml:space="preserve">. כמו שלמדנו בכיתה, ע"י שימוש בבסיס </t>
    </r>
    <r>
      <rPr>
        <sz val="11"/>
        <color theme="1"/>
        <rFont val="Arial"/>
        <family val="2"/>
      </rPr>
      <t>$n$</t>
    </r>
    <r>
      <rPr>
        <sz val="11"/>
        <color theme="1"/>
        <rFont val="Calibri"/>
        <family val="2"/>
        <scheme val="minor"/>
      </rPr>
      <t xml:space="preserve">. (אם </t>
    </r>
    <r>
      <rPr>
        <sz val="11"/>
        <color theme="1"/>
        <rFont val="Arial"/>
        <family val="2"/>
      </rPr>
      <t>$n &lt; 1000$</t>
    </r>
    <r>
      <rPr>
        <sz val="11"/>
        <color theme="1"/>
        <rFont val="Calibri"/>
        <family val="2"/>
        <scheme val="minor"/>
      </rPr>
      <t xml:space="preserve"> נוכל למיין בזמן קבוע). לסיום משתמשים בשדות info כדי לשחזר את המספרים המקוריים. התכונה המבוקשת מתקיימת כיוון שאם </t>
    </r>
    <r>
      <rPr>
        <sz val="11"/>
        <color theme="1"/>
        <rFont val="Arial"/>
        <family val="2"/>
      </rPr>
      <t>$b - a &gt; 1/1000$</t>
    </r>
    <r>
      <rPr>
        <sz val="11"/>
        <color theme="1"/>
        <rFont val="Calibri"/>
        <family val="2"/>
        <scheme val="minor"/>
      </rPr>
      <t xml:space="preserve"> נובע כי </t>
    </r>
    <r>
      <rPr>
        <sz val="11"/>
        <color theme="1"/>
        <rFont val="Arial"/>
        <family val="2"/>
      </rPr>
      <t>$1000b - 1000a &gt; 1$</t>
    </r>
    <r>
      <rPr>
        <sz val="11"/>
        <color theme="1"/>
        <rFont val="Calibri"/>
        <family val="2"/>
        <scheme val="minor"/>
      </rPr>
      <t xml:space="preserve"> ולכן </t>
    </r>
    <r>
      <rPr>
        <sz val="11"/>
        <color theme="1"/>
        <rFont val="Arial"/>
        <family val="2"/>
      </rPr>
      <t>$\lfloor 1000b \rfloor &gt; \lfloor 1000a \rfloor$</t>
    </r>
    <r>
      <rPr>
        <sz val="11"/>
        <color theme="1"/>
        <rFont val="Calibri"/>
        <family val="2"/>
        <scheme val="minor"/>
      </rPr>
      <t xml:space="preserve"> כלומר המפתח שהתאמנו ל-</t>
    </r>
    <r>
      <rPr>
        <sz val="11"/>
        <color theme="1"/>
        <rFont val="Arial"/>
        <family val="2"/>
      </rPr>
      <t>$b$</t>
    </r>
    <r>
      <rPr>
        <sz val="11"/>
        <color theme="1"/>
        <rFont val="Calibri"/>
        <family val="2"/>
        <scheme val="minor"/>
      </rPr>
      <t xml:space="preserve"> בהכרח יופיע אחרי המפתח שהתאמנו ל-</t>
    </r>
    <r>
      <rPr>
        <sz val="11"/>
        <color theme="1"/>
        <rFont val="Arial"/>
        <family val="2"/>
      </rPr>
      <t>$a$</t>
    </r>
    <r>
      <rPr>
        <sz val="11"/>
        <color theme="1"/>
        <rFont val="Calibri"/>
        <family val="2"/>
        <scheme val="minor"/>
      </rPr>
      <t>.</t>
    </r>
  </si>
  <si>
    <r>
      <t xml:space="preserve">נמצא את החציון בעזרת אלגוריתם חציון החציונים בזמן </t>
    </r>
    <r>
      <rPr>
        <sz val="11"/>
        <color theme="1"/>
        <rFont val="Arial"/>
        <family val="2"/>
      </rPr>
      <t>$O(n)$</t>
    </r>
    <r>
      <rPr>
        <sz val="11"/>
        <color theme="1"/>
        <rFont val="Calibri"/>
        <family val="2"/>
        <scheme val="minor"/>
      </rPr>
      <t xml:space="preserve"> ונחלק לאיברים שגדולים מהחציון ואלו שקטנים ממנו. נחזור ברקורסיה על כל אחד מהצדדים על פעולה זו. נבצע את זה בעומק </t>
    </r>
    <r>
      <rPr>
        <sz val="11"/>
        <color theme="1"/>
        <rFont val="Arial"/>
        <family val="2"/>
      </rPr>
      <t>$\log(n/r)$</t>
    </r>
    <r>
      <rPr>
        <sz val="11"/>
        <color theme="1"/>
        <rFont val="Calibri"/>
        <family val="2"/>
        <scheme val="minor"/>
      </rPr>
      <t xml:space="preserve"> ונקבל בלוקים בגודל </t>
    </r>
    <r>
      <rPr>
        <sz val="11"/>
        <color theme="1"/>
        <rFont val="Arial"/>
        <family val="2"/>
      </rPr>
      <t>$r$</t>
    </r>
    <r>
      <rPr>
        <sz val="11"/>
        <color theme="1"/>
        <rFont val="Calibri"/>
        <family val="2"/>
        <scheme val="minor"/>
      </rPr>
      <t xml:space="preserve"> כדרוש. סיבוכיות: את פעולת האלגוריתם אפשר לתאר כעין עץ בינארי מלא בעומק </t>
    </r>
    <r>
      <rPr>
        <sz val="11"/>
        <color theme="1"/>
        <rFont val="Arial"/>
        <family val="2"/>
      </rPr>
      <t>$\log(n/r)$</t>
    </r>
    <r>
      <rPr>
        <sz val="11"/>
        <color theme="1"/>
        <rFont val="Calibri"/>
        <family val="2"/>
        <scheme val="minor"/>
      </rPr>
      <t xml:space="preserve">. בכל רמה של הרקורסיה עובדים </t>
    </r>
    <r>
      <rPr>
        <sz val="11"/>
        <color theme="1"/>
        <rFont val="Arial"/>
        <family val="2"/>
      </rPr>
      <t>$2^i$</t>
    </r>
    <r>
      <rPr>
        <sz val="11"/>
        <color theme="1"/>
        <rFont val="Calibri"/>
        <family val="2"/>
        <scheme val="minor"/>
      </rPr>
      <t xml:space="preserve"> קבוצות זרות כל אחת בגודל </t>
    </r>
    <r>
      <rPr>
        <sz val="11"/>
        <color theme="1"/>
        <rFont val="Arial"/>
        <family val="2"/>
      </rPr>
      <t>$n/2^i$</t>
    </r>
    <r>
      <rPr>
        <sz val="11"/>
        <color theme="1"/>
        <rFont val="Calibri"/>
        <family val="2"/>
        <scheme val="minor"/>
      </rPr>
      <t>. לכן כל מציאת החציונים באותה רמה יתבצעו ביחד ב-</t>
    </r>
    <r>
      <rPr>
        <sz val="11"/>
        <color theme="1"/>
        <rFont val="Arial"/>
        <family val="2"/>
      </rPr>
      <t>$O(n)$</t>
    </r>
    <r>
      <rPr>
        <sz val="11"/>
        <color theme="1"/>
        <rFont val="Calibri"/>
        <family val="2"/>
        <scheme val="minor"/>
      </rPr>
      <t xml:space="preserve">. לכן סה"כ הסיבוכיות </t>
    </r>
    <r>
      <rPr>
        <sz val="11"/>
        <color theme="1"/>
        <rFont val="Arial"/>
        <family val="2"/>
      </rPr>
      <t>$O(n \log \frac{n}{r})$</t>
    </r>
    <r>
      <rPr>
        <sz val="11"/>
        <color theme="1"/>
        <rFont val="Calibri"/>
        <family val="2"/>
        <scheme val="minor"/>
      </rPr>
      <t>.</t>
    </r>
  </si>
  <si>
    <r>
      <t>כל פתרון יכול להתאים ל-</t>
    </r>
    <r>
      <rPr>
        <sz val="11"/>
        <color theme="1"/>
        <rFont val="Arial"/>
        <family val="2"/>
      </rPr>
      <t>$(r!)^{n/r}$</t>
    </r>
    <r>
      <rPr>
        <sz val="11"/>
        <color theme="1"/>
        <rFont val="Calibri"/>
        <family val="2"/>
        <scheme val="minor"/>
      </rPr>
      <t xml:space="preserve"> קלטים אפשריים כי בכל בלוק יש </t>
    </r>
    <r>
      <rPr>
        <sz val="11"/>
        <color theme="1"/>
        <rFont val="Arial"/>
        <family val="2"/>
      </rPr>
      <t>$r!$</t>
    </r>
    <r>
      <rPr>
        <sz val="11"/>
        <color theme="1"/>
        <rFont val="Calibri"/>
        <family val="2"/>
        <scheme val="minor"/>
      </rPr>
      <t xml:space="preserve"> סדרים אפשריים ויש סה"כ </t>
    </r>
    <r>
      <rPr>
        <sz val="11"/>
        <color theme="1"/>
        <rFont val="Arial"/>
        <family val="2"/>
      </rPr>
      <t>$n/r$</t>
    </r>
    <r>
      <rPr>
        <sz val="11"/>
        <color theme="1"/>
        <rFont val="Calibri"/>
        <family val="2"/>
        <scheme val="minor"/>
      </rPr>
      <t xml:space="preserve"> בלוקים זרים. יש </t>
    </r>
    <r>
      <rPr>
        <sz val="11"/>
        <color theme="1"/>
        <rFont val="Arial"/>
        <family val="2"/>
      </rPr>
      <t>$n!$</t>
    </r>
    <r>
      <rPr>
        <sz val="11"/>
        <color theme="1"/>
        <rFont val="Calibri"/>
        <family val="2"/>
        <scheme val="minor"/>
      </rPr>
      <t xml:space="preserve"> קלטים לכן מספר העלים בכל עץ השוואות הוא לפחות </t>
    </r>
    <r>
      <rPr>
        <sz val="11"/>
        <color theme="1"/>
        <rFont val="Arial"/>
        <family val="2"/>
      </rPr>
      <t>$n! / (r!)^{n/r}$</t>
    </r>
    <r>
      <rPr>
        <sz val="11"/>
        <color theme="1"/>
        <rFont val="Calibri"/>
        <family val="2"/>
        <scheme val="minor"/>
      </rPr>
      <t xml:space="preserve">. אבל </t>
    </r>
    <r>
      <rPr>
        <sz val="11"/>
        <color theme="1"/>
        <rFont val="Arial"/>
        <family val="2"/>
      </rPr>
      <t>$\log(n! / (r!)^{n/r}) \ge n \log n - O(n) - (n/r)(r \log r - O(r)) \ge n \log (n/r) - O(n) = \Omega(n \log \frac{n}{r})$</t>
    </r>
    <r>
      <rPr>
        <sz val="11"/>
        <color theme="1"/>
        <rFont val="Calibri"/>
        <family val="2"/>
        <scheme val="minor"/>
      </rPr>
      <t xml:space="preserve">. כל זמן ש- </t>
    </r>
    <r>
      <rPr>
        <sz val="11"/>
        <color theme="1"/>
        <rFont val="Arial"/>
        <family val="2"/>
      </rPr>
      <t>$r = o(n)$</t>
    </r>
    <r>
      <rPr>
        <sz val="11"/>
        <color theme="1"/>
        <rFont val="Calibri"/>
        <family val="2"/>
        <scheme val="minor"/>
      </rPr>
      <t xml:space="preserve"> אחרת בכל מקרה החסם לינארי.</t>
    </r>
  </si>
  <si>
    <r>
      <t xml:space="preserve">נתחזיק עץ AVL עם שדה size. נממש את כל הפעולות בצורה נאיבית, רק ניתוח האמורטייזד יהיה מעניין. insert, search, delete – כרגיל. זמן ריצה: </t>
    </r>
    <r>
      <rPr>
        <sz val="11"/>
        <color theme="1"/>
        <rFont val="Arial"/>
        <family val="2"/>
      </rPr>
      <t>$O(\log n)$</t>
    </r>
    <r>
      <rPr>
        <sz val="11"/>
        <color theme="1"/>
        <rFont val="Calibri"/>
        <family val="2"/>
        <scheme val="minor"/>
      </rPr>
      <t xml:space="preserve"> במקרה הגרוע. delete_even_rank – נמחק אחד אחרי השני את כל המפתחות מדרגה זוגית (נמחק את האיבר השני בגודלו, בעץ החדש נמחק את האיבר השלישי בגודלו וכן הלאה). זמן ריצה </t>
    </r>
    <r>
      <rPr>
        <sz val="11"/>
        <color theme="1"/>
        <rFont val="Arial"/>
        <family val="2"/>
      </rPr>
      <t>$O(n \log n)$</t>
    </r>
    <r>
      <rPr>
        <sz val="11"/>
        <color theme="1"/>
        <rFont val="Calibri"/>
        <family val="2"/>
        <scheme val="minor"/>
      </rPr>
      <t xml:space="preserve"> במקרה הגרוע. ניתוח אמורטייזד: נחייב את כל הפעולות (פרט ל-search) ל-insert. פורמלית – בשיטת הבנק, בכל הכנסה נפקיד </t>
    </r>
    <r>
      <rPr>
        <sz val="11"/>
        <color theme="1"/>
        <rFont val="Arial"/>
        <family val="2"/>
      </rPr>
      <t>$2 \log n$</t>
    </r>
    <r>
      <rPr>
        <sz val="11"/>
        <color theme="1"/>
        <rFont val="Calibri"/>
        <family val="2"/>
        <scheme val="minor"/>
      </rPr>
      <t xml:space="preserve"> מטבעות לבנק. מתוכם </t>
    </r>
    <r>
      <rPr>
        <sz val="11"/>
        <color theme="1"/>
        <rFont val="Arial"/>
        <family val="2"/>
      </rPr>
      <t>$\log n$</t>
    </r>
    <r>
      <rPr>
        <sz val="11"/>
        <color theme="1"/>
        <rFont val="Calibri"/>
        <family val="2"/>
        <scheme val="minor"/>
      </rPr>
      <t xml:space="preserve"> ישלמו על ההכנסה עצמה וה- </t>
    </r>
    <r>
      <rPr>
        <sz val="11"/>
        <color theme="1"/>
        <rFont val="Arial"/>
        <family val="2"/>
      </rPr>
      <t>$\log n$</t>
    </r>
    <r>
      <rPr>
        <sz val="11"/>
        <color theme="1"/>
        <rFont val="Calibri"/>
        <family val="2"/>
        <scheme val="minor"/>
      </rPr>
      <t xml:space="preserve"> הנותרים ישלמו בעתיד במידת הצורך על מחיקת המפתח שהוכנס (המחיקה יכולה לקרות או ב-delete או ב-delete_even_rank). הערה: בבירור אפשר לממש את delete_even_rank בזמן לינארי. המימוש הנוכחי יותר פשוט לניתוח בגלל שהוא מבצע מחיקות שאותן חייבנו להכנסות.</t>
    </r>
  </si>
  <si>
    <r>
      <t xml:space="preserve">אתחול: נבנה שתי ערימות, ערימת מקסימום וערימת מינימום ובנוסף משתנה בשם multiple שיכיל את הערך 1. נעבור על המערך ונאתחל את שתי הערימות בעזרתו. במהלך הבנייה גם נתחזק מצביעים בין אלמנטים זהים הנמצאים בשתי הערימות. סיבוכיות: </t>
    </r>
    <r>
      <rPr>
        <sz val="11"/>
        <color theme="1"/>
        <rFont val="Arial"/>
        <family val="2"/>
      </rPr>
      <t>$O(n)$</t>
    </r>
    <r>
      <rPr>
        <sz val="11"/>
        <color theme="1"/>
        <rFont val="Calibri"/>
        <family val="2"/>
        <scheme val="minor"/>
      </rPr>
      <t xml:space="preserve"> הכפלה בקבוע: בהינתן קבוע b נבצע עדכון לשדה multiple כך: multiple*=b סיבוכיות: </t>
    </r>
    <r>
      <rPr>
        <sz val="11"/>
        <color theme="1"/>
        <rFont val="Arial"/>
        <family val="2"/>
      </rPr>
      <t>$O(1)$</t>
    </r>
    <r>
      <rPr>
        <sz val="11"/>
        <color theme="1"/>
        <rFont val="Calibri"/>
        <family val="2"/>
        <scheme val="minor"/>
      </rPr>
      <t xml:space="preserve"> מציאת מינימום: לפי סימן השדה multiple נחזיר את המינימום \ מקסימום של הערימה הרלוונטית. כאשר הסימן חיובי אז מערימת המינימום אחרת מקסימום. סיבוכיות: </t>
    </r>
    <r>
      <rPr>
        <sz val="11"/>
        <color theme="1"/>
        <rFont val="Arial"/>
        <family val="2"/>
      </rPr>
      <t>$O(1)$</t>
    </r>
    <r>
      <rPr>
        <sz val="11"/>
        <color theme="1"/>
        <rFont val="Calibri"/>
        <family val="2"/>
        <scheme val="minor"/>
      </rPr>
      <t xml:space="preserve"> מחיקת המינימום: נמצא את המינימום (ככתוב למעלה) ואז נמחק הערימה הרלוונטית. בעזרת מצביע נגיע לאיבר המתאים בערימה השנייה ונמחק את האיבר. סיבוכיות: </t>
    </r>
    <r>
      <rPr>
        <sz val="11"/>
        <color theme="1"/>
        <rFont val="Arial"/>
        <family val="2"/>
      </rPr>
      <t>$O(\log n)$</t>
    </r>
    <r>
      <rPr>
        <sz val="11"/>
        <color theme="1"/>
        <rFont val="Calibri"/>
        <family val="2"/>
        <scheme val="minor"/>
      </rPr>
      <t xml:space="preserve"> הכנסה: נבצע תיקון לאיבר על ידי חילוק ב multiple (שימו לב שאפשר להניח ששונה מאפס) ואז נכניס לשתי הערימות עם מצביעים. סיבוכיות: </t>
    </r>
    <r>
      <rPr>
        <sz val="11"/>
        <color theme="1"/>
        <rFont val="Arial"/>
        <family val="2"/>
      </rPr>
      <t>$O(\log n)$</t>
    </r>
  </si>
  <si>
    <r>
      <t xml:space="preserve">אתחול: נבנה שתי ערימות, ערימת מקסימום וערימת מינימום ובנוסף משתנה בשם multiple שיכיל את הערך 1 ומשתנה בשם addition שיכיל את הערך 0. נעבור על המערך ונאתחל את שתי הערימות בעזרתו. במהלך הבנייה גם נתחזק מצביעים בין אלמנטים זהים הנמצאים בשתי הערימות. סיבוכיות: </t>
    </r>
    <r>
      <rPr>
        <sz val="11"/>
        <color theme="1"/>
        <rFont val="Arial"/>
        <family val="2"/>
      </rPr>
      <t>$O(n)$</t>
    </r>
    <r>
      <rPr>
        <sz val="11"/>
        <color theme="1"/>
        <rFont val="Calibri"/>
        <family val="2"/>
        <scheme val="minor"/>
      </rPr>
      <t xml:space="preserve"> הכפלה בקבוע: בהינתן קבוע b נבצע עדכון לשדה multiple ולשדה addition כך: multiple*=b, addition*=b. סיבוכיות: </t>
    </r>
    <r>
      <rPr>
        <sz val="11"/>
        <color theme="1"/>
        <rFont val="Arial"/>
        <family val="2"/>
      </rPr>
      <t>$O(1)$</t>
    </r>
    <r>
      <rPr>
        <sz val="11"/>
        <color theme="1"/>
        <rFont val="Calibri"/>
        <family val="2"/>
        <scheme val="minor"/>
      </rPr>
      <t xml:space="preserve"> הוספת בקבוע: בהינתן קבוע b נבצע עדכון לשדה addition כך: addition+=b. סיבוכיות: </t>
    </r>
    <r>
      <rPr>
        <sz val="11"/>
        <color theme="1"/>
        <rFont val="Arial"/>
        <family val="2"/>
      </rPr>
      <t>$O(1)$</t>
    </r>
    <r>
      <rPr>
        <sz val="11"/>
        <color theme="1"/>
        <rFont val="Calibri"/>
        <family val="2"/>
        <scheme val="minor"/>
      </rPr>
      <t xml:space="preserve"> מציאת מינימום: לפי סימן השדה multiple נחזיר את המינימום \ מקסימום של הערימה הרלוונטית. כאשר הסימן חיובי אז מערימת המינימום אחרת מקסימום (נזכור להכפיל את התוצאה ב multiple ואז להוסיף את addition). סיבוכיות: </t>
    </r>
    <r>
      <rPr>
        <sz val="11"/>
        <color theme="1"/>
        <rFont val="Arial"/>
        <family val="2"/>
      </rPr>
      <t>$O(1)$</t>
    </r>
    <r>
      <rPr>
        <sz val="11"/>
        <color theme="1"/>
        <rFont val="Calibri"/>
        <family val="2"/>
        <scheme val="minor"/>
      </rPr>
      <t xml:space="preserve"> מחיקת המינימום: נמצא את המינימום (ככתוב למעלה) ואז נמחק הערימה הרלוונטית. בעזרת מצביע נגיע לאיבר המתאים בערימה השנייה ונמחק את האיבר. סיבוכיות: </t>
    </r>
    <r>
      <rPr>
        <sz val="11"/>
        <color theme="1"/>
        <rFont val="Arial"/>
        <family val="2"/>
      </rPr>
      <t>$O(\log n)$</t>
    </r>
    <r>
      <rPr>
        <sz val="11"/>
        <color theme="1"/>
        <rFont val="Calibri"/>
        <family val="2"/>
        <scheme val="minor"/>
      </rPr>
      <t xml:space="preserve"> הכנסה: נבצע תיקון לאיבר key על ידי key-addition)/multiple) (שימו לב שאפשר להניח ששונה מאפס) ואז נכניס לשתי הערימות עם מצביעים. סיבוכיות: </t>
    </r>
    <r>
      <rPr>
        <sz val="11"/>
        <color theme="1"/>
        <rFont val="Arial"/>
        <family val="2"/>
      </rPr>
      <t>$O(\log n)$</t>
    </r>
  </si>
  <si>
    <r>
      <t xml:space="preserve">נתחזיק 3 עצי </t>
    </r>
    <r>
      <rPr>
        <sz val="11"/>
        <color theme="1"/>
        <rFont val="Arial"/>
        <family val="2"/>
      </rPr>
      <t>$AVL : T_1, T_2$</t>
    </r>
    <r>
      <rPr>
        <sz val="11"/>
        <color theme="1"/>
        <rFont val="Calibri"/>
        <family val="2"/>
        <scheme val="minor"/>
      </rPr>
      <t xml:space="preserve"> כאשר </t>
    </r>
    <r>
      <rPr>
        <sz val="11"/>
        <color theme="1"/>
        <rFont val="Arial"/>
        <family val="2"/>
      </rPr>
      <t>$T_1$</t>
    </r>
    <r>
      <rPr>
        <sz val="11"/>
        <color theme="1"/>
        <rFont val="Calibri"/>
        <family val="2"/>
        <scheme val="minor"/>
      </rPr>
      <t xml:space="preserve"> מכיל את </t>
    </r>
    <r>
      <rPr>
        <sz val="11"/>
        <color theme="1"/>
        <rFont val="Arial"/>
        <family val="2"/>
      </rPr>
      <t>$\lfloor n/2 \rfloor$</t>
    </r>
    <r>
      <rPr>
        <sz val="11"/>
        <color theme="1"/>
        <rFont val="Calibri"/>
        <family val="2"/>
        <scheme val="minor"/>
      </rPr>
      <t xml:space="preserve"> המפתחות הקטנים, </t>
    </r>
    <r>
      <rPr>
        <sz val="11"/>
        <color theme="1"/>
        <rFont val="Arial"/>
        <family val="2"/>
      </rPr>
      <t>$T_2$</t>
    </r>
    <r>
      <rPr>
        <sz val="11"/>
        <color theme="1"/>
        <rFont val="Calibri"/>
        <family val="2"/>
        <scheme val="minor"/>
      </rPr>
      <t xml:space="preserve"> יכיל את </t>
    </r>
    <r>
      <rPr>
        <sz val="11"/>
        <color theme="1"/>
        <rFont val="Arial"/>
        <family val="2"/>
      </rPr>
      <t>$\lceil n/2 \rceil$</t>
    </r>
    <r>
      <rPr>
        <sz val="11"/>
        <color theme="1"/>
        <rFont val="Calibri"/>
        <family val="2"/>
        <scheme val="minor"/>
      </rPr>
      <t xml:space="preserve"> המפתחות הגדולים. נתחזיק מצביעים למינימום של </t>
    </r>
    <r>
      <rPr>
        <sz val="11"/>
        <color theme="1"/>
        <rFont val="Arial"/>
        <family val="2"/>
      </rPr>
      <t>$T_1, T_2$</t>
    </r>
    <r>
      <rPr>
        <sz val="11"/>
        <color theme="1"/>
        <rFont val="Calibri"/>
        <family val="2"/>
        <scheme val="minor"/>
      </rPr>
      <t xml:space="preserve"> וגם למקסימום של </t>
    </r>
    <r>
      <rPr>
        <sz val="11"/>
        <color theme="1"/>
        <rFont val="Arial"/>
        <family val="2"/>
      </rPr>
      <t>$T_1$</t>
    </r>
    <r>
      <rPr>
        <sz val="11"/>
        <color theme="1"/>
        <rFont val="Calibri"/>
        <family val="2"/>
        <scheme val="minor"/>
      </rPr>
      <t xml:space="preserve">. נתחזיק בעצים שדה size בכדי שיהיה ניתן לעשות select. insert נאחד את </t>
    </r>
    <r>
      <rPr>
        <sz val="11"/>
        <color theme="1"/>
        <rFont val="Arial"/>
        <family val="2"/>
      </rPr>
      <t>$T_1, T_2$</t>
    </r>
    <r>
      <rPr>
        <sz val="11"/>
        <color theme="1"/>
        <rFont val="Calibri"/>
        <family val="2"/>
        <scheme val="minor"/>
      </rPr>
      <t xml:space="preserve"> (נמחק את המקסימום של </t>
    </r>
    <r>
      <rPr>
        <sz val="11"/>
        <color theme="1"/>
        <rFont val="Arial"/>
        <family val="2"/>
      </rPr>
      <t>$T_1$</t>
    </r>
    <r>
      <rPr>
        <sz val="11"/>
        <color theme="1"/>
        <rFont val="Calibri"/>
        <family val="2"/>
        <scheme val="minor"/>
      </rPr>
      <t xml:space="preserve"> ונעזר בו בשביל join ל-2 העצים) לעץ </t>
    </r>
    <r>
      <rPr>
        <sz val="11"/>
        <color theme="1"/>
        <rFont val="Arial"/>
        <family val="2"/>
      </rPr>
      <t>$T$</t>
    </r>
    <r>
      <rPr>
        <sz val="11"/>
        <color theme="1"/>
        <rFont val="Calibri"/>
        <family val="2"/>
        <scheme val="minor"/>
      </rPr>
      <t xml:space="preserve">. נוסיף את key ל </t>
    </r>
    <r>
      <rPr>
        <sz val="11"/>
        <color theme="1"/>
        <rFont val="Arial"/>
        <family val="2"/>
      </rPr>
      <t>$T$</t>
    </r>
    <r>
      <rPr>
        <sz val="11"/>
        <color theme="1"/>
        <rFont val="Calibri"/>
        <family val="2"/>
        <scheme val="minor"/>
      </rPr>
      <t xml:space="preserve">. בעזרת פעולת split בחציון (שאותו נמצא באמצעות select) ניצור את </t>
    </r>
    <r>
      <rPr>
        <sz val="11"/>
        <color theme="1"/>
        <rFont val="Arial"/>
        <family val="2"/>
      </rPr>
      <t>$T_1, T_2$</t>
    </r>
    <r>
      <rPr>
        <sz val="11"/>
        <color theme="1"/>
        <rFont val="Calibri"/>
        <family val="2"/>
        <scheme val="minor"/>
      </rPr>
      <t xml:space="preserve"> החדשים. delete כמו בהכנסה. נמחק את key מ </t>
    </r>
    <r>
      <rPr>
        <sz val="11"/>
        <color theme="1"/>
        <rFont val="Arial"/>
        <family val="2"/>
      </rPr>
      <t>$T$</t>
    </r>
    <r>
      <rPr>
        <sz val="11"/>
        <color theme="1"/>
        <rFont val="Calibri"/>
        <family val="2"/>
        <scheme val="minor"/>
      </rPr>
      <t xml:space="preserve">. כמו בהכנסה. search - נחפש ב </t>
    </r>
    <r>
      <rPr>
        <sz val="11"/>
        <color theme="1"/>
        <rFont val="Arial"/>
        <family val="2"/>
      </rPr>
      <t>$T_1, T_2$</t>
    </r>
    <r>
      <rPr>
        <sz val="11"/>
        <color theme="1"/>
        <rFont val="Calibri"/>
        <family val="2"/>
        <scheme val="minor"/>
      </rPr>
      <t xml:space="preserve">. </t>
    </r>
    <r>
      <rPr>
        <sz val="11"/>
        <color theme="1"/>
        <rFont val="Arial"/>
        <family val="2"/>
      </rPr>
      <t>$select(i)$</t>
    </r>
    <r>
      <rPr>
        <sz val="11"/>
        <color theme="1"/>
        <rFont val="Calibri"/>
        <family val="2"/>
        <scheme val="minor"/>
      </rPr>
      <t xml:space="preserve"> – אם </t>
    </r>
    <r>
      <rPr>
        <sz val="11"/>
        <color theme="1"/>
        <rFont val="Arial"/>
        <family val="2"/>
      </rPr>
      <t>$i \le \lfloor n/2 \rfloor$</t>
    </r>
    <r>
      <rPr>
        <sz val="11"/>
        <color theme="1"/>
        <rFont val="Calibri"/>
        <family val="2"/>
        <scheme val="minor"/>
      </rPr>
      <t xml:space="preserve"> אז נבצע </t>
    </r>
    <r>
      <rPr>
        <sz val="11"/>
        <color theme="1"/>
        <rFont val="Arial"/>
        <family val="2"/>
      </rPr>
      <t>$select(i)$</t>
    </r>
    <r>
      <rPr>
        <sz val="11"/>
        <color theme="1"/>
        <rFont val="Calibri"/>
        <family val="2"/>
        <scheme val="minor"/>
      </rPr>
      <t xml:space="preserve"> ב </t>
    </r>
    <r>
      <rPr>
        <sz val="11"/>
        <color theme="1"/>
        <rFont val="Arial"/>
        <family val="2"/>
      </rPr>
      <t>$T_1$</t>
    </r>
    <r>
      <rPr>
        <sz val="11"/>
        <color theme="1"/>
        <rFont val="Calibri"/>
        <family val="2"/>
        <scheme val="minor"/>
      </rPr>
      <t xml:space="preserve">, אחרת נבצע </t>
    </r>
    <r>
      <rPr>
        <sz val="11"/>
        <color theme="1"/>
        <rFont val="Arial"/>
        <family val="2"/>
      </rPr>
      <t>$(i - \lfloor n/2 \rfloor)select$</t>
    </r>
    <r>
      <rPr>
        <sz val="11"/>
        <color theme="1"/>
        <rFont val="Calibri"/>
        <family val="2"/>
        <scheme val="minor"/>
      </rPr>
      <t xml:space="preserve"> ב </t>
    </r>
    <r>
      <rPr>
        <sz val="11"/>
        <color theme="1"/>
        <rFont val="Arial"/>
        <family val="2"/>
      </rPr>
      <t>$T_2$</t>
    </r>
    <r>
      <rPr>
        <sz val="11"/>
        <color theme="1"/>
        <rFont val="Calibri"/>
        <family val="2"/>
        <scheme val="minor"/>
      </rPr>
      <t xml:space="preserve">. הסיבוכיות נובעת מכך שראינו שבהנתן מצביע למינימום אז </t>
    </r>
    <r>
      <rPr>
        <sz val="11"/>
        <color theme="1"/>
        <rFont val="Arial"/>
        <family val="2"/>
      </rPr>
      <t>$select(i)$</t>
    </r>
    <r>
      <rPr>
        <sz val="11"/>
        <color theme="1"/>
        <rFont val="Calibri"/>
        <family val="2"/>
        <scheme val="minor"/>
      </rPr>
      <t xml:space="preserve"> מתבצע ב </t>
    </r>
    <r>
      <rPr>
        <sz val="11"/>
        <color theme="1"/>
        <rFont val="Arial"/>
        <family val="2"/>
      </rPr>
      <t>$O(\log i)$</t>
    </r>
    <r>
      <rPr>
        <sz val="11"/>
        <color theme="1"/>
        <rFont val="Calibri"/>
        <family val="2"/>
        <scheme val="minor"/>
      </rPr>
      <t xml:space="preserve"> זמן.</t>
    </r>
  </si>
  <si>
    <r>
      <t xml:space="preserve">מבנה הנתונים: מערך מעגלי שנעשה לו doubling. נשמור שדה גלובאלי </t>
    </r>
    <r>
      <rPr>
        <sz val="11"/>
        <color theme="1"/>
        <rFont val="Arial"/>
        <family val="2"/>
      </rPr>
      <t>$M$</t>
    </r>
    <r>
      <rPr>
        <sz val="11"/>
        <color theme="1"/>
        <rFont val="Calibri"/>
        <family val="2"/>
        <scheme val="minor"/>
      </rPr>
      <t xml:space="preserve"> שמציין את גודל המערך הנוכחי, שדה גלובאלי </t>
    </r>
    <r>
      <rPr>
        <sz val="11"/>
        <color theme="1"/>
        <rFont val="Arial"/>
        <family val="2"/>
      </rPr>
      <t>$n$</t>
    </r>
    <r>
      <rPr>
        <sz val="11"/>
        <color theme="1"/>
        <rFont val="Calibri"/>
        <family val="2"/>
        <scheme val="minor"/>
      </rPr>
      <t xml:space="preserve"> שמציין את מספר האיברים במבנה ושדה גלובאלי last שיצביע לסוף התור. מימוש הפעולות: enqueue(x) – ראשית, במידה ו </t>
    </r>
    <r>
      <rPr>
        <sz val="11"/>
        <color theme="1"/>
        <rFont val="Arial"/>
        <family val="2"/>
      </rPr>
      <t>$n = M$</t>
    </r>
    <r>
      <rPr>
        <sz val="11"/>
        <color theme="1"/>
        <rFont val="Calibri"/>
        <family val="2"/>
        <scheme val="minor"/>
      </rPr>
      <t xml:space="preserve">, נעתיק את האיברים למערך בגודל 2M החל מאינדקס 1 ונשנה את last ל </t>
    </r>
    <r>
      <rPr>
        <sz val="11"/>
        <color theme="1"/>
        <rFont val="Arial"/>
        <family val="2"/>
      </rPr>
      <t>$M+1$</t>
    </r>
    <r>
      <rPr>
        <sz val="11"/>
        <color theme="1"/>
        <rFont val="Calibri"/>
        <family val="2"/>
        <scheme val="minor"/>
      </rPr>
      <t xml:space="preserve">. שנית, נכניס את x למקום last ולאחר מכן נגדיל ב1 את n ואת last. dequeue() – האיבר שיש להחזיר נמצא באינדקס </t>
    </r>
    <r>
      <rPr>
        <sz val="11"/>
        <color theme="1"/>
        <rFont val="Arial"/>
        <family val="2"/>
      </rPr>
      <t>$(last - n)\%M$</t>
    </r>
    <r>
      <rPr>
        <sz val="11"/>
        <color theme="1"/>
        <rFont val="Calibri"/>
        <family val="2"/>
        <scheme val="minor"/>
      </rPr>
      <t xml:space="preserve">. נקטיין את n ב-1. אם </t>
    </r>
    <r>
      <rPr>
        <sz val="11"/>
        <color theme="1"/>
        <rFont val="Arial"/>
        <family val="2"/>
      </rPr>
      <t>$n = M/4$</t>
    </r>
    <r>
      <rPr>
        <sz val="11"/>
        <color theme="1"/>
        <rFont val="Calibri"/>
        <family val="2"/>
        <scheme val="minor"/>
      </rPr>
      <t xml:space="preserve"> אז נעתיק את האיברים למערך בגודל </t>
    </r>
    <r>
      <rPr>
        <sz val="11"/>
        <color theme="1"/>
        <rFont val="Arial"/>
        <family val="2"/>
      </rPr>
      <t>$M/2$</t>
    </r>
    <r>
      <rPr>
        <sz val="11"/>
        <color theme="1"/>
        <rFont val="Calibri"/>
        <family val="2"/>
        <scheme val="minor"/>
      </rPr>
      <t xml:space="preserve"> החל מאינדקס 0 ונשנה את last ל </t>
    </r>
    <r>
      <rPr>
        <sz val="11"/>
        <color theme="1"/>
        <rFont val="Arial"/>
        <family val="2"/>
      </rPr>
      <t>$M/4 + 1$</t>
    </r>
    <r>
      <rPr>
        <sz val="11"/>
        <color theme="1"/>
        <rFont val="Calibri"/>
        <family val="2"/>
        <scheme val="minor"/>
      </rPr>
      <t xml:space="preserve">. Retrieve(i) – נחזיר את האיבר במקום ה- </t>
    </r>
    <r>
      <rPr>
        <sz val="11"/>
        <color theme="1"/>
        <rFont val="Arial"/>
        <family val="2"/>
      </rPr>
      <t>$(last - n + i - 1)\%M$</t>
    </r>
    <r>
      <rPr>
        <sz val="11"/>
        <color theme="1"/>
        <rFont val="Calibri"/>
        <family val="2"/>
        <scheme val="minor"/>
      </rPr>
      <t xml:space="preserve">. מקום: מתקיים </t>
    </r>
    <r>
      <rPr>
        <sz val="11"/>
        <color theme="1"/>
        <rFont val="Arial"/>
        <family val="2"/>
      </rPr>
      <t>$M/4 \le n \le M$</t>
    </r>
    <r>
      <rPr>
        <sz val="11"/>
        <color theme="1"/>
        <rFont val="Calibri"/>
        <family val="2"/>
        <scheme val="minor"/>
      </rPr>
      <t xml:space="preserve"> ולכן כמות המקום שמבנה הנתונים צורך היא ליניארית במספר האיברים שמורים במבנה. ניתוח סיבוכיות: כל הפעולות מתבצעות בזמן אמורטייזד </t>
    </r>
    <r>
      <rPr>
        <sz val="11"/>
        <color theme="1"/>
        <rFont val="Arial"/>
        <family val="2"/>
      </rPr>
      <t>$O(1)$</t>
    </r>
    <r>
      <rPr>
        <sz val="11"/>
        <color theme="1"/>
        <rFont val="Calibri"/>
        <family val="2"/>
        <scheme val="minor"/>
      </rPr>
      <t xml:space="preserve">. ניתן להוכיח באמצעות פונקציית הפוטנציאל </t>
    </r>
    <r>
      <rPr>
        <sz val="11"/>
        <color theme="1"/>
        <rFont val="Arial"/>
        <family val="2"/>
      </rPr>
      <t>$\phi(M,n) = \begin{cases} 2n - M, &amp; n \ge M/2 \\ M/2 - n, &amp; n \le M/2 \end{cases}$</t>
    </r>
    <r>
      <rPr>
        <sz val="11"/>
        <color theme="1"/>
        <rFont val="Calibri"/>
        <family val="2"/>
        <scheme val="minor"/>
      </rPr>
      <t>.</t>
    </r>
  </si>
  <si>
    <r>
      <t xml:space="preserve">מבנה הנתונים: נבצע דה אמורטיזציה. נשמור בכל רגע נתון 3 מערכים מעגליים בגדלים </t>
    </r>
    <r>
      <rPr>
        <sz val="11"/>
        <color theme="1"/>
        <rFont val="Arial"/>
        <family val="2"/>
      </rPr>
      <t>$M/2, M, 2M$</t>
    </r>
    <r>
      <rPr>
        <sz val="11"/>
        <color theme="1"/>
        <rFont val="Calibri"/>
        <family val="2"/>
        <scheme val="minor"/>
      </rPr>
      <t xml:space="preserve"> כאשר תמיד המערך הפעיל שמכיל את התור יהיה המערך בגודל </t>
    </r>
    <r>
      <rPr>
        <sz val="11"/>
        <color theme="1"/>
        <rFont val="Arial"/>
        <family val="2"/>
      </rPr>
      <t>$M$</t>
    </r>
    <r>
      <rPr>
        <sz val="11"/>
        <color theme="1"/>
        <rFont val="Calibri"/>
        <family val="2"/>
        <scheme val="minor"/>
      </rPr>
      <t xml:space="preserve">. נממש את הפעולות כמו במימוש הקודם עם השינוי הבא: אם </t>
    </r>
    <r>
      <rPr>
        <sz val="11"/>
        <color theme="1"/>
        <rFont val="Arial"/>
        <family val="2"/>
      </rPr>
      <t>$n &gt; M/2$</t>
    </r>
    <r>
      <rPr>
        <sz val="11"/>
        <color theme="1"/>
        <rFont val="Calibri"/>
        <family val="2"/>
        <scheme val="minor"/>
      </rPr>
      <t xml:space="preserve"> אז בכל פעולה נעתיק 1000 איברים מהמערך באורך </t>
    </r>
    <r>
      <rPr>
        <sz val="11"/>
        <color theme="1"/>
        <rFont val="Arial"/>
        <family val="2"/>
      </rPr>
      <t>$M$</t>
    </r>
    <r>
      <rPr>
        <sz val="11"/>
        <color theme="1"/>
        <rFont val="Calibri"/>
        <family val="2"/>
        <scheme val="minor"/>
      </rPr>
      <t xml:space="preserve"> למערך באורך </t>
    </r>
    <r>
      <rPr>
        <sz val="11"/>
        <color theme="1"/>
        <rFont val="Arial"/>
        <family val="2"/>
      </rPr>
      <t>$2M$</t>
    </r>
    <r>
      <rPr>
        <sz val="11"/>
        <color theme="1"/>
        <rFont val="Calibri"/>
        <family val="2"/>
        <scheme val="minor"/>
      </rPr>
      <t xml:space="preserve"> (פעם ראשונה נעתיק את 1000 האיברים הראשונים בתור, אחר כך את ה-1000 הבאים וכולי). אם </t>
    </r>
    <r>
      <rPr>
        <sz val="11"/>
        <color theme="1"/>
        <rFont val="Arial"/>
        <family val="2"/>
      </rPr>
      <t>$n &lt; M/2$</t>
    </r>
    <r>
      <rPr>
        <sz val="11"/>
        <color theme="1"/>
        <rFont val="Calibri"/>
        <family val="2"/>
        <scheme val="minor"/>
      </rPr>
      <t xml:space="preserve"> אז בכל פעולה נעתיק 1000 איברים מהמערך באורך </t>
    </r>
    <r>
      <rPr>
        <sz val="11"/>
        <color theme="1"/>
        <rFont val="Arial"/>
        <family val="2"/>
      </rPr>
      <t>$M$</t>
    </r>
    <r>
      <rPr>
        <sz val="11"/>
        <color theme="1"/>
        <rFont val="Calibri"/>
        <family val="2"/>
        <scheme val="minor"/>
      </rPr>
      <t xml:space="preserve"> למערך באורך </t>
    </r>
    <r>
      <rPr>
        <sz val="11"/>
        <color theme="1"/>
        <rFont val="Arial"/>
        <family val="2"/>
      </rPr>
      <t>$M/2$</t>
    </r>
    <r>
      <rPr>
        <sz val="11"/>
        <color theme="1"/>
        <rFont val="Calibri"/>
        <family val="2"/>
        <scheme val="minor"/>
      </rPr>
      <t xml:space="preserve"> (פעם ראשונה נעתיק את 1000 האיברים הראשונים בתור, אחר כך את ה-1000 הבאים וכולי). כשמוחקים איבר ב-dequeue, יש למחוק אותו מכל המערכים בהם הוא מופיע. אם </t>
    </r>
    <r>
      <rPr>
        <sz val="11"/>
        <color theme="1"/>
        <rFont val="Arial"/>
        <family val="2"/>
      </rPr>
      <t>$n$</t>
    </r>
    <r>
      <rPr>
        <sz val="11"/>
        <color theme="1"/>
        <rFont val="Calibri"/>
        <family val="2"/>
        <scheme val="minor"/>
      </rPr>
      <t xml:space="preserve"> משנה גודל מיותר מ </t>
    </r>
    <r>
      <rPr>
        <sz val="11"/>
        <color theme="1"/>
        <rFont val="Arial"/>
        <family val="2"/>
      </rPr>
      <t>$M/2$</t>
    </r>
    <r>
      <rPr>
        <sz val="11"/>
        <color theme="1"/>
        <rFont val="Calibri"/>
        <family val="2"/>
        <scheme val="minor"/>
      </rPr>
      <t xml:space="preserve"> לפחות מ </t>
    </r>
    <r>
      <rPr>
        <sz val="11"/>
        <color theme="1"/>
        <rFont val="Arial"/>
        <family val="2"/>
      </rPr>
      <t>$M/2$</t>
    </r>
    <r>
      <rPr>
        <sz val="11"/>
        <color theme="1"/>
        <rFont val="Calibri"/>
        <family val="2"/>
        <scheme val="minor"/>
      </rPr>
      <t xml:space="preserve"> או להיפך, אז אנו דורסים את עבודת ההעתקה שביצענו עד כה וממתחילים ממנה. אם </t>
    </r>
    <r>
      <rPr>
        <sz val="11"/>
        <color theme="1"/>
        <rFont val="Arial"/>
        <family val="2"/>
      </rPr>
      <t>$n = M$</t>
    </r>
    <r>
      <rPr>
        <sz val="11"/>
        <color theme="1"/>
        <rFont val="Calibri"/>
        <family val="2"/>
        <scheme val="minor"/>
      </rPr>
      <t xml:space="preserve"> אז את המערך הקטן בגודל </t>
    </r>
    <r>
      <rPr>
        <sz val="11"/>
        <color theme="1"/>
        <rFont val="Arial"/>
        <family val="2"/>
      </rPr>
      <t>$M/2$</t>
    </r>
    <r>
      <rPr>
        <sz val="11"/>
        <color theme="1"/>
        <rFont val="Calibri"/>
        <family val="2"/>
        <scheme val="minor"/>
      </rPr>
      <t xml:space="preserve"> זורקים. המערך הבינוני הופך לקטן, המערך הגדול (שכבר מכיל את כל האיברים) הופך לבינוני ומקצים מערך בגודל </t>
    </r>
    <r>
      <rPr>
        <sz val="11"/>
        <color theme="1"/>
        <rFont val="Arial"/>
        <family val="2"/>
      </rPr>
      <t>$4M$</t>
    </r>
    <r>
      <rPr>
        <sz val="11"/>
        <color theme="1"/>
        <rFont val="Calibri"/>
        <family val="2"/>
        <scheme val="minor"/>
      </rPr>
      <t xml:space="preserve"> שישמש כמערך הגדול. טיפול דומה קורה במקרה שבו </t>
    </r>
    <r>
      <rPr>
        <sz val="11"/>
        <color theme="1"/>
        <rFont val="Arial"/>
        <family val="2"/>
      </rPr>
      <t>$n = M/4$</t>
    </r>
    <r>
      <rPr>
        <sz val="11"/>
        <color theme="1"/>
        <rFont val="Calibri"/>
        <family val="2"/>
        <scheme val="minor"/>
      </rPr>
      <t xml:space="preserve">. כל הפעולות רצות בזמן ריצה </t>
    </r>
    <r>
      <rPr>
        <sz val="11"/>
        <color theme="1"/>
        <rFont val="Arial"/>
        <family val="2"/>
      </rPr>
      <t>$O(1)$</t>
    </r>
    <r>
      <rPr>
        <sz val="11"/>
        <color theme="1"/>
        <rFont val="Calibri"/>
        <family val="2"/>
        <scheme val="minor"/>
      </rPr>
      <t xml:space="preserve"> במקרה הגרוע וגודל המקום שהמבנה צורך הוא </t>
    </r>
    <r>
      <rPr>
        <sz val="11"/>
        <color theme="1"/>
        <rFont val="Arial"/>
        <family val="2"/>
      </rPr>
      <t>$O(n)$</t>
    </r>
    <r>
      <rPr>
        <sz val="11"/>
        <color theme="1"/>
        <rFont val="Calibri"/>
        <family val="2"/>
        <scheme val="minor"/>
      </rPr>
      <t>.</t>
    </r>
  </si>
  <si>
    <r>
      <t xml:space="preserve">הטריק הקלאסי בשאלות מסוג זה הוא לבודד משתנים: </t>
    </r>
    <r>
      <rPr>
        <sz val="11"/>
        <color theme="1"/>
        <rFont val="Arial"/>
        <family val="2"/>
      </rPr>
      <t>$|a_j - a_i| = j - i$</t>
    </r>
    <r>
      <rPr>
        <sz val="11"/>
        <color theme="1"/>
        <rFont val="Calibri"/>
        <family val="2"/>
        <scheme val="minor"/>
      </rPr>
      <t xml:space="preserve"> אם </t>
    </r>
    <r>
      <rPr>
        <sz val="11"/>
        <color theme="1"/>
        <rFont val="Arial"/>
        <family val="2"/>
      </rPr>
      <t>$a_j - a_i = j - i$</t>
    </r>
    <r>
      <rPr>
        <sz val="11"/>
        <color theme="1"/>
        <rFont val="Calibri"/>
        <family val="2"/>
        <scheme val="minor"/>
      </rPr>
      <t xml:space="preserve"> או </t>
    </r>
    <r>
      <rPr>
        <sz val="11"/>
        <color theme="1"/>
        <rFont val="Arial"/>
        <family val="2"/>
      </rPr>
      <t>$a_i - a_j = j - i$</t>
    </r>
    <r>
      <rPr>
        <sz val="11"/>
        <color theme="1"/>
        <rFont val="Calibri"/>
        <family val="2"/>
        <scheme val="minor"/>
      </rPr>
      <t xml:space="preserve"> אם </t>
    </r>
    <r>
      <rPr>
        <sz val="11"/>
        <color theme="1"/>
        <rFont val="Arial"/>
        <family val="2"/>
      </rPr>
      <t>$a_j - i = a_i - j$</t>
    </r>
    <r>
      <rPr>
        <sz val="11"/>
        <color theme="1"/>
        <rFont val="Calibri"/>
        <family val="2"/>
        <scheme val="minor"/>
      </rPr>
      <t xml:space="preserve"> או </t>
    </r>
    <r>
      <rPr>
        <sz val="11"/>
        <color theme="1"/>
        <rFont val="Arial"/>
        <family val="2"/>
      </rPr>
      <t>$a_j + j = a_i + i$</t>
    </r>
    <r>
      <rPr>
        <sz val="11"/>
        <color theme="1"/>
        <rFont val="Calibri"/>
        <family val="2"/>
        <scheme val="minor"/>
      </rPr>
      <t xml:space="preserve">. אלגוריתם – נעזר ב-2 מילונים במימוש hash table בגודל </t>
    </r>
    <r>
      <rPr>
        <sz val="11"/>
        <color theme="1"/>
        <rFont val="Arial"/>
        <family val="2"/>
      </rPr>
      <t>$n$</t>
    </r>
    <r>
      <rPr>
        <sz val="11"/>
        <color theme="1"/>
        <rFont val="Calibri"/>
        <family val="2"/>
        <scheme val="minor"/>
      </rPr>
      <t xml:space="preserve"> בשיטת chaining. נסמן את המילונים ב-</t>
    </r>
    <r>
      <rPr>
        <sz val="11"/>
        <color theme="1"/>
        <rFont val="Arial"/>
        <family val="2"/>
      </rPr>
      <t>$D_1, D_2$</t>
    </r>
    <r>
      <rPr>
        <sz val="11"/>
        <color theme="1"/>
        <rFont val="Calibri"/>
        <family val="2"/>
        <scheme val="minor"/>
      </rPr>
      <t xml:space="preserve">. עבור </t>
    </r>
    <r>
      <rPr>
        <sz val="11"/>
        <color theme="1"/>
        <rFont val="Arial"/>
        <family val="2"/>
      </rPr>
      <t>$i = 1 \dots n$</t>
    </r>
    <r>
      <rPr>
        <sz val="11"/>
        <color theme="1"/>
        <rFont val="Calibri"/>
        <family val="2"/>
        <scheme val="minor"/>
      </rPr>
      <t xml:space="preserve">: נבדוק האם </t>
    </r>
    <r>
      <rPr>
        <sz val="11"/>
        <color theme="1"/>
        <rFont val="Arial"/>
        <family val="2"/>
      </rPr>
      <t>$a_i - i$</t>
    </r>
    <r>
      <rPr>
        <sz val="11"/>
        <color theme="1"/>
        <rFont val="Calibri"/>
        <family val="2"/>
        <scheme val="minor"/>
      </rPr>
      <t xml:space="preserve"> מופיע ב-</t>
    </r>
    <r>
      <rPr>
        <sz val="11"/>
        <color theme="1"/>
        <rFont val="Arial"/>
        <family val="2"/>
      </rPr>
      <t>$D_1$</t>
    </r>
    <r>
      <rPr>
        <sz val="11"/>
        <color theme="1"/>
        <rFont val="Calibri"/>
        <family val="2"/>
        <scheme val="minor"/>
      </rPr>
      <t xml:space="preserve">. אם כן נחזיר true. אחרת, נכניס את </t>
    </r>
    <r>
      <rPr>
        <sz val="11"/>
        <color theme="1"/>
        <rFont val="Arial"/>
        <family val="2"/>
      </rPr>
      <t>$a_i - i$</t>
    </r>
    <r>
      <rPr>
        <sz val="11"/>
        <color theme="1"/>
        <rFont val="Calibri"/>
        <family val="2"/>
        <scheme val="minor"/>
      </rPr>
      <t xml:space="preserve"> ל-</t>
    </r>
    <r>
      <rPr>
        <sz val="11"/>
        <color theme="1"/>
        <rFont val="Arial"/>
        <family val="2"/>
      </rPr>
      <t>$D_1$</t>
    </r>
    <r>
      <rPr>
        <sz val="11"/>
        <color theme="1"/>
        <rFont val="Calibri"/>
        <family val="2"/>
        <scheme val="minor"/>
      </rPr>
      <t xml:space="preserve">. נבדוק האם </t>
    </r>
    <r>
      <rPr>
        <sz val="11"/>
        <color theme="1"/>
        <rFont val="Arial"/>
        <family val="2"/>
      </rPr>
      <t>$a_i + i$</t>
    </r>
    <r>
      <rPr>
        <sz val="11"/>
        <color theme="1"/>
        <rFont val="Calibri"/>
        <family val="2"/>
        <scheme val="minor"/>
      </rPr>
      <t xml:space="preserve"> מופיע ב-</t>
    </r>
    <r>
      <rPr>
        <sz val="11"/>
        <color theme="1"/>
        <rFont val="Arial"/>
        <family val="2"/>
      </rPr>
      <t>$D_2$</t>
    </r>
    <r>
      <rPr>
        <sz val="11"/>
        <color theme="1"/>
        <rFont val="Calibri"/>
        <family val="2"/>
        <scheme val="minor"/>
      </rPr>
      <t xml:space="preserve">. אם כן נחזיר true. אחרת, נכניס את </t>
    </r>
    <r>
      <rPr>
        <sz val="11"/>
        <color theme="1"/>
        <rFont val="Arial"/>
        <family val="2"/>
      </rPr>
      <t>$a_i + i$</t>
    </r>
    <r>
      <rPr>
        <sz val="11"/>
        <color theme="1"/>
        <rFont val="Calibri"/>
        <family val="2"/>
        <scheme val="minor"/>
      </rPr>
      <t xml:space="preserve"> ל-</t>
    </r>
    <r>
      <rPr>
        <sz val="11"/>
        <color theme="1"/>
        <rFont val="Arial"/>
        <family val="2"/>
      </rPr>
      <t>$D_2$</t>
    </r>
    <r>
      <rPr>
        <sz val="11"/>
        <color theme="1"/>
        <rFont val="Calibri"/>
        <family val="2"/>
        <scheme val="minor"/>
      </rPr>
      <t xml:space="preserve">. במידה ולא החזרנו true בלולאה, נחזיר false. סיבוכיות </t>
    </r>
    <r>
      <rPr>
        <sz val="11"/>
        <color theme="1"/>
        <rFont val="Arial"/>
        <family val="2"/>
      </rPr>
      <t>$O(n)$</t>
    </r>
    <r>
      <rPr>
        <sz val="11"/>
        <color theme="1"/>
        <rFont val="Calibri"/>
        <family val="2"/>
        <scheme val="minor"/>
      </rPr>
      <t xml:space="preserve"> בתוחלת (כמות ליניארית של פעולות על טבלת hash בגודל </t>
    </r>
    <r>
      <rPr>
        <sz val="11"/>
        <color theme="1"/>
        <rFont val="Arial"/>
        <family val="2"/>
      </rPr>
      <t>$n$</t>
    </r>
    <r>
      <rPr>
        <sz val="11"/>
        <color theme="1"/>
        <rFont val="Calibri"/>
        <family val="2"/>
        <scheme val="minor"/>
      </rPr>
      <t>).</t>
    </r>
  </si>
  <si>
    <r>
      <t xml:space="preserve">ניצור 2 מערכים, אחד עם הערכים </t>
    </r>
    <r>
      <rPr>
        <sz val="11"/>
        <color theme="1"/>
        <rFont val="Arial"/>
        <family val="2"/>
      </rPr>
      <t>$a_i + i$</t>
    </r>
    <r>
      <rPr>
        <sz val="11"/>
        <color theme="1"/>
        <rFont val="Calibri"/>
        <family val="2"/>
        <scheme val="minor"/>
      </rPr>
      <t xml:space="preserve">, השני עם </t>
    </r>
    <r>
      <rPr>
        <sz val="11"/>
        <color theme="1"/>
        <rFont val="Arial"/>
        <family val="2"/>
      </rPr>
      <t>$a_i - i$</t>
    </r>
    <r>
      <rPr>
        <sz val="11"/>
        <color theme="1"/>
        <rFont val="Calibri"/>
        <family val="2"/>
        <scheme val="minor"/>
      </rPr>
      <t xml:space="preserve">. נבחין כי כל הערכים שלמים בתחום </t>
    </r>
    <r>
      <rPr>
        <sz val="11"/>
        <color theme="1"/>
        <rFont val="Arial"/>
        <family val="2"/>
      </rPr>
      <t>$\{-n^2 - n, \dots, n^2 + n\}$</t>
    </r>
    <r>
      <rPr>
        <sz val="11"/>
        <color theme="1"/>
        <rFont val="Calibri"/>
        <family val="2"/>
        <scheme val="minor"/>
      </rPr>
      <t xml:space="preserve"> ולכן אנו יודעים למיין אותם בזמן ליניארי עם radix sort. כל שנותר הוא לבדוק האם יש זוג איברים זהים באחד מהמערכים, ומספיק להסתכל על זוגות עוקבים בזמן ליניארי כיוון שהם ממוינים. סיבוכיות </t>
    </r>
    <r>
      <rPr>
        <sz val="11"/>
        <color theme="1"/>
        <rFont val="Arial"/>
        <family val="2"/>
      </rPr>
      <t>$O(n)$</t>
    </r>
    <r>
      <rPr>
        <sz val="11"/>
        <color theme="1"/>
        <rFont val="Calibri"/>
        <family val="2"/>
        <scheme val="minor"/>
      </rPr>
      <t>.</t>
    </r>
  </si>
  <si>
    <r>
      <t xml:space="preserve">מבנה הנתונים – 2 עצי AVL. אחד עבור </t>
    </r>
    <r>
      <rPr>
        <sz val="11"/>
        <color theme="1"/>
        <rFont val="Arial"/>
        <family val="2"/>
      </rPr>
      <t>$f$</t>
    </r>
    <r>
      <rPr>
        <sz val="11"/>
        <color theme="1"/>
        <rFont val="Calibri"/>
        <family val="2"/>
        <scheme val="minor"/>
      </rPr>
      <t xml:space="preserve"> המפתחות הקטנים בעץ ואחד עבור </t>
    </r>
    <r>
      <rPr>
        <sz val="11"/>
        <color theme="1"/>
        <rFont val="Arial"/>
        <family val="2"/>
      </rPr>
      <t>$n-f$</t>
    </r>
    <r>
      <rPr>
        <sz val="11"/>
        <color theme="1"/>
        <rFont val="Calibri"/>
        <family val="2"/>
        <scheme val="minor"/>
      </rPr>
      <t xml:space="preserve"> המפתחות הגדולים. בהתחלה (לפני שאילתת focus) יהיה לנו עץ AVL בודד שהוא ריק. העצים ישמרו שדה size בשביל שאילתות select. בנוסף העץ עם האיברים הקטנים ישמור מצביע למקסימום והעץ השני ישמור מצביע למינימום. בנוסף יהיה לנו משתנה גלובלית </t>
    </r>
    <r>
      <rPr>
        <sz val="11"/>
        <color theme="1"/>
        <rFont val="Arial"/>
        <family val="2"/>
      </rPr>
      <t>$f$</t>
    </r>
    <r>
      <rPr>
        <sz val="11"/>
        <color theme="1"/>
        <rFont val="Calibri"/>
        <family val="2"/>
        <scheme val="minor"/>
      </rPr>
      <t xml:space="preserve"> שישמור את ה-"focus". Insert(key, val) – במידה ו </t>
    </r>
    <r>
      <rPr>
        <sz val="11"/>
        <color theme="1"/>
        <rFont val="Arial"/>
        <family val="2"/>
      </rPr>
      <t>$f$</t>
    </r>
    <r>
      <rPr>
        <sz val="11"/>
        <color theme="1"/>
        <rFont val="Calibri"/>
        <family val="2"/>
        <scheme val="minor"/>
      </rPr>
      <t xml:space="preserve"> עוד לא אותחל אז נכניס רגיל לעץ AVL הבודד של מבנה הנתונים. אחרת. נשווה את key למקסימום של </t>
    </r>
    <r>
      <rPr>
        <sz val="11"/>
        <color theme="1"/>
        <rFont val="Arial"/>
        <family val="2"/>
      </rPr>
      <t>$f$</t>
    </r>
    <r>
      <rPr>
        <sz val="11"/>
        <color theme="1"/>
        <rFont val="Calibri"/>
        <family val="2"/>
        <scheme val="minor"/>
      </rPr>
      <t xml:space="preserve"> האיברים הקטנים ולפי זה נדע לאיזה עץ להכניס את key. במידה והכנסנו את key לעץ של המפתחות הקטנים אז נמחק שם את המקסימום ונעבירו לעץ של המפתחות הגדולים. delete(key) - במידה ו </t>
    </r>
    <r>
      <rPr>
        <sz val="11"/>
        <color theme="1"/>
        <rFont val="Arial"/>
        <family val="2"/>
      </rPr>
      <t>$f$</t>
    </r>
    <r>
      <rPr>
        <sz val="11"/>
        <color theme="1"/>
        <rFont val="Calibri"/>
        <family val="2"/>
        <scheme val="minor"/>
      </rPr>
      <t xml:space="preserve"> עוד לא אותחל אז נמחק רגיל מעץ AVL הבודד של מבנה הנתונים. אחרת. נשווה את key למקסימום של </t>
    </r>
    <r>
      <rPr>
        <sz val="11"/>
        <color theme="1"/>
        <rFont val="Arial"/>
        <family val="2"/>
      </rPr>
      <t>$f$</t>
    </r>
    <r>
      <rPr>
        <sz val="11"/>
        <color theme="1"/>
        <rFont val="Calibri"/>
        <family val="2"/>
        <scheme val="minor"/>
      </rPr>
      <t xml:space="preserve"> האיברים הקטנים ולפי זה נדע מאיזה עץ למחוק את key. במידה ומחקנו את key מהעץ של המפתחות הקטנים אז נמחק את המינימום בעץ של המפתחות הגדולים ונעבירו לעץ של המפתחות הקטנים. setFocus(f) – נמזג את עצי ה-AVL ונעשה להם split באיבר מדרגה </t>
    </r>
    <r>
      <rPr>
        <sz val="11"/>
        <color theme="1"/>
        <rFont val="Arial"/>
        <family val="2"/>
      </rPr>
      <t>$f$</t>
    </r>
    <r>
      <rPr>
        <sz val="11"/>
        <color theme="1"/>
        <rFont val="Calibri"/>
        <family val="2"/>
        <scheme val="minor"/>
      </rPr>
      <t xml:space="preserve">. נעדכן את משתנה ה-focus הגלובאלי שלנו ל </t>
    </r>
    <r>
      <rPr>
        <sz val="11"/>
        <color theme="1"/>
        <rFont val="Arial"/>
        <family val="2"/>
      </rPr>
      <t>$f$</t>
    </r>
    <r>
      <rPr>
        <sz val="11"/>
        <color theme="1"/>
        <rFont val="Calibri"/>
        <family val="2"/>
        <scheme val="minor"/>
      </rPr>
      <t>. select(i) – נבצע select באמצעות המצביע למינימום/מקסימום של העץ המתאים. סיבוכיות – נובע מסיבוכיות AVL finger tree.</t>
    </r>
  </si>
  <si>
    <t>אי אפשר. נניח בשלילה שקיים מבנה נתונים כזה ונציע אלגוריתם למיון מערך באורך $n$: 1. נכניס את איברי המערך למבנה הנתונים. 2. עבור $i = 1 \dots n$: נעשה a. SetFocus(i) ו-b. Select(i) (ונדפיס את האיבר הזה).
עלות שלב 1 היא $O(n \log n)$. סה"כ עלות שלב a היא $O(n \log n)$ וסה"כ עלות שלב b היא $\Theta(n)$. כלומר הצלחנו למיין ב $O(n \log n)$, בסתירה.</t>
  </si>
  <si>
    <r>
      <t xml:space="preserve">מבנה הנתונים – ערימה בינארית </t>
    </r>
    <r>
      <rPr>
        <sz val="11"/>
        <color theme="1"/>
        <rFont val="Arial"/>
        <family val="2"/>
      </rPr>
      <t>$H$</t>
    </r>
    <r>
      <rPr>
        <sz val="11"/>
        <color theme="1"/>
        <rFont val="Calibri"/>
        <family val="2"/>
        <scheme val="minor"/>
      </rPr>
      <t xml:space="preserve"> ומחסנית </t>
    </r>
    <r>
      <rPr>
        <sz val="11"/>
        <color theme="1"/>
        <rFont val="Arial"/>
        <family val="2"/>
      </rPr>
      <t>$S$</t>
    </r>
    <r>
      <rPr>
        <sz val="11"/>
        <color theme="1"/>
        <rFont val="Calibri"/>
        <family val="2"/>
        <scheme val="minor"/>
      </rPr>
      <t xml:space="preserve"> (הממומשת ע"י רשימה מקושרת דו-כיוונית). כל מפתח מוכנס לשתיהן ושומרים מצביעים דו כיווניים זה לזה. push(key) – נבצע S.push(key), H.insert(key) ונקשר ביניהם. pop() – נבצע S.pop(), בעזרתו נקבל מצביע למיקום בערימה ואז נמחק מהמחסנית ומהערימה. min() – מחזיר את המפתח המינימלי ב-</t>
    </r>
    <r>
      <rPr>
        <sz val="11"/>
        <color theme="1"/>
        <rFont val="Arial"/>
        <family val="2"/>
      </rPr>
      <t>$H$</t>
    </r>
    <r>
      <rPr>
        <sz val="11"/>
        <color theme="1"/>
        <rFont val="Calibri"/>
        <family val="2"/>
        <scheme val="minor"/>
      </rPr>
      <t>. deleteMin() – נבצע H.min() ובעזרתו נקבל מצביע לצומת במחסנית. כעת נמחק גם מהמחסנית וגם מהערימה. כל הפעולות על המחסנית הן בזמן קבוע (על ראש הרשימה או דרך מצביע לאיבר) ולכן הזמנים מוכתבים ע"י הפעולות על הערימה, שעומדות בדרישות הסיבוכיות.</t>
    </r>
  </si>
  <si>
    <t>נחליף את הערימה בערימה בינומית עצלה (או פיבונאצ'י). מימוש הפעולות נותר זהה, וכיוון ששוב זמני הפעולות על הערימה הם הדומיננטיים, המימוש עומד בדרישות הסיבוכיות אמורטייזד.</t>
  </si>
  <si>
    <r>
      <t xml:space="preserve">תמידו שאתם מבינים למה בסעיף א לוקחים חציון על פני </t>
    </r>
    <r>
      <rPr>
        <sz val="11"/>
        <color theme="1"/>
        <rFont val="Arial"/>
        <family val="2"/>
      </rPr>
      <t>$1/3 * 3/8n + 1/5 * 5/8n = n/4$</t>
    </r>
    <r>
      <rPr>
        <sz val="11"/>
        <color theme="1"/>
        <rFont val="Calibri"/>
        <family val="2"/>
        <scheme val="minor"/>
      </rPr>
      <t xml:space="preserve"> איברים ובסעיף ב לוקחים חציון על פני </t>
    </r>
    <r>
      <rPr>
        <sz val="11"/>
        <color theme="1"/>
        <rFont val="Arial"/>
        <family val="2"/>
      </rPr>
      <t>$0.1n + 0.14n = 0.24n$</t>
    </r>
    <r>
      <rPr>
        <sz val="11"/>
        <color theme="1"/>
        <rFont val="Calibri"/>
        <family val="2"/>
        <scheme val="minor"/>
      </rPr>
      <t xml:space="preserve"> איברים. במקרה הגרוע החציון שייבחר גדול מ </t>
    </r>
    <r>
      <rPr>
        <sz val="11"/>
        <color theme="1"/>
        <rFont val="Arial"/>
        <family val="2"/>
      </rPr>
      <t>$1/8n$</t>
    </r>
    <r>
      <rPr>
        <sz val="11"/>
        <color theme="1"/>
        <rFont val="Calibri"/>
        <family val="2"/>
        <scheme val="minor"/>
      </rPr>
      <t xml:space="preserve"> חציוני השלשות וקטן מ </t>
    </r>
    <r>
      <rPr>
        <sz val="11"/>
        <color theme="1"/>
        <rFont val="Arial"/>
        <family val="2"/>
      </rPr>
      <t>$1/8n$</t>
    </r>
    <r>
      <rPr>
        <sz val="11"/>
        <color theme="1"/>
        <rFont val="Calibri"/>
        <family val="2"/>
        <scheme val="minor"/>
      </rPr>
      <t xml:space="preserve"> חציוני החמישיות (או להפך). במקרה זה רק נוכל להבטיח ש </t>
    </r>
    <r>
      <rPr>
        <sz val="11"/>
        <color theme="1"/>
        <rFont val="Arial"/>
        <family val="2"/>
      </rPr>
      <t>$n/8 = n/4 * 2$</t>
    </r>
    <r>
      <rPr>
        <sz val="11"/>
        <color theme="1"/>
        <rFont val="Calibri"/>
        <family val="2"/>
        <scheme val="minor"/>
      </rPr>
      <t xml:space="preserve"> מפתחות יזרקו והאלג ימשיך ברקורסיה עם מערך מגודל לכל היותר </t>
    </r>
    <r>
      <rPr>
        <sz val="11"/>
        <color theme="1"/>
        <rFont val="Arial"/>
        <family val="2"/>
      </rPr>
      <t>$3/4n$</t>
    </r>
    <r>
      <rPr>
        <sz val="11"/>
        <color theme="1"/>
        <rFont val="Calibri"/>
        <family val="2"/>
        <scheme val="minor"/>
      </rPr>
      <t xml:space="preserve">. מקבלים נוסחת נסיגה של </t>
    </r>
    <r>
      <rPr>
        <sz val="11"/>
        <color theme="1"/>
        <rFont val="Arial"/>
        <family val="2"/>
      </rPr>
      <t>$T(n) = T(n/4) + T(3/4n) + \Theta(n)$</t>
    </r>
    <r>
      <rPr>
        <sz val="11"/>
        <color theme="1"/>
        <rFont val="Calibri"/>
        <family val="2"/>
        <scheme val="minor"/>
      </rPr>
      <t xml:space="preserve">. כלומר </t>
    </r>
    <r>
      <rPr>
        <sz val="11"/>
        <color theme="1"/>
        <rFont val="Arial"/>
        <family val="2"/>
      </rPr>
      <t>$T(n) = \Theta(n \log n)$</t>
    </r>
    <r>
      <rPr>
        <sz val="11"/>
        <color theme="1"/>
        <rFont val="Calibri"/>
        <family val="2"/>
        <scheme val="minor"/>
      </rPr>
      <t>.</t>
    </r>
  </si>
  <si>
    <r>
      <t xml:space="preserve">הפעם הסיבוכיות כן תהיה ליניארית כי שיפרנו קצת את היחס. במקרה הגרוע החציון שייבחר גדול מ </t>
    </r>
    <r>
      <rPr>
        <sz val="11"/>
        <color theme="1"/>
        <rFont val="Arial"/>
        <family val="2"/>
      </rPr>
      <t>$0.1n$</t>
    </r>
    <r>
      <rPr>
        <sz val="11"/>
        <color theme="1"/>
        <rFont val="Calibri"/>
        <family val="2"/>
        <scheme val="minor"/>
      </rPr>
      <t xml:space="preserve"> חציוני השלשות ומ </t>
    </r>
    <r>
      <rPr>
        <sz val="11"/>
        <color theme="1"/>
        <rFont val="Arial"/>
        <family val="2"/>
      </rPr>
      <t>$0.24n/2 - 0.1n = 0.02n$</t>
    </r>
    <r>
      <rPr>
        <sz val="11"/>
        <color theme="1"/>
        <rFont val="Calibri"/>
        <family val="2"/>
        <scheme val="minor"/>
      </rPr>
      <t xml:space="preserve"> חציוני החמישיות. באותו אופן החציון גם יהיה קטן גם מ </t>
    </r>
    <r>
      <rPr>
        <sz val="11"/>
        <color theme="1"/>
        <rFont val="Arial"/>
        <family val="2"/>
      </rPr>
      <t>$0.1n$</t>
    </r>
    <r>
      <rPr>
        <sz val="11"/>
        <color theme="1"/>
        <rFont val="Calibri"/>
        <family val="2"/>
        <scheme val="minor"/>
      </rPr>
      <t xml:space="preserve"> חציוני השלשות ו </t>
    </r>
    <r>
      <rPr>
        <sz val="11"/>
        <color theme="1"/>
        <rFont val="Arial"/>
        <family val="2"/>
      </rPr>
      <t>$0.02n$</t>
    </r>
    <r>
      <rPr>
        <sz val="11"/>
        <color theme="1"/>
        <rFont val="Calibri"/>
        <family val="2"/>
        <scheme val="minor"/>
      </rPr>
      <t xml:space="preserve"> מחציוני החמישיות. לכן יזרקו לפחות </t>
    </r>
    <r>
      <rPr>
        <sz val="11"/>
        <color theme="1"/>
        <rFont val="Arial"/>
        <family val="2"/>
      </rPr>
      <t>$0.26n = 2 * 0.1n + 3 * 0.02n$</t>
    </r>
    <r>
      <rPr>
        <sz val="11"/>
        <color theme="1"/>
        <rFont val="Calibri"/>
        <family val="2"/>
        <scheme val="minor"/>
      </rPr>
      <t xml:space="preserve"> מפתחות. כלומר האלגוריתם ימשיך רקורסיבית עם מערך בגודל לכל היותר </t>
    </r>
    <r>
      <rPr>
        <sz val="11"/>
        <color theme="1"/>
        <rFont val="Arial"/>
        <family val="2"/>
      </rPr>
      <t>$0.74n$</t>
    </r>
    <r>
      <rPr>
        <sz val="11"/>
        <color theme="1"/>
        <rFont val="Calibri"/>
        <family val="2"/>
        <scheme val="minor"/>
      </rPr>
      <t xml:space="preserve">. מקבלים נוסחת נסיגה של </t>
    </r>
    <r>
      <rPr>
        <sz val="11"/>
        <color theme="1"/>
        <rFont val="Arial"/>
        <family val="2"/>
      </rPr>
      <t>$T(n) = T(0.24n) + T(0.74n) + \Theta(n)$</t>
    </r>
    <r>
      <rPr>
        <sz val="11"/>
        <color theme="1"/>
        <rFont val="Calibri"/>
        <family val="2"/>
        <scheme val="minor"/>
      </rPr>
      <t xml:space="preserve">. כלומר </t>
    </r>
    <r>
      <rPr>
        <sz val="11"/>
        <color theme="1"/>
        <rFont val="Arial"/>
        <family val="2"/>
      </rPr>
      <t>$T(n) = \Theta(n)$</t>
    </r>
    <r>
      <rPr>
        <sz val="11"/>
        <color theme="1"/>
        <rFont val="Calibri"/>
        <family val="2"/>
        <scheme val="minor"/>
      </rPr>
      <t>.</t>
    </r>
  </si>
  <si>
    <r>
      <t xml:space="preserve">הטריק הקלאסי בשאלות מסוג זה הוא לבודד משתנים: </t>
    </r>
    <r>
      <rPr>
        <sz val="11"/>
        <color theme="1"/>
        <rFont val="Arial"/>
        <family val="2"/>
      </rPr>
      <t>$|a_j - a_i| = j - i$</t>
    </r>
    <r>
      <rPr>
        <sz val="11"/>
        <color theme="1"/>
        <rFont val="Calibri"/>
        <family val="2"/>
        <scheme val="minor"/>
      </rPr>
      <t xml:space="preserve"> אם </t>
    </r>
    <r>
      <rPr>
        <sz val="11"/>
        <color theme="1"/>
        <rFont val="Arial"/>
        <family val="2"/>
      </rPr>
      <t>$a_j - a_i = j - i$</t>
    </r>
    <r>
      <rPr>
        <sz val="11"/>
        <color theme="1"/>
        <rFont val="Calibri"/>
        <family val="2"/>
        <scheme val="minor"/>
      </rPr>
      <t xml:space="preserve"> או </t>
    </r>
    <r>
      <rPr>
        <sz val="11"/>
        <color theme="1"/>
        <rFont val="Arial"/>
        <family val="2"/>
      </rPr>
      <t>$a_i - a_j = j - i$</t>
    </r>
    <r>
      <rPr>
        <sz val="11"/>
        <color theme="1"/>
        <rFont val="Calibri"/>
        <family val="2"/>
        <scheme val="minor"/>
      </rPr>
      <t xml:space="preserve"> אם </t>
    </r>
    <r>
      <rPr>
        <sz val="11"/>
        <color theme="1"/>
        <rFont val="Arial"/>
        <family val="2"/>
      </rPr>
      <t>$a_j - i = a_i - j$</t>
    </r>
    <r>
      <rPr>
        <sz val="11"/>
        <color theme="1"/>
        <rFont val="Calibri"/>
        <family val="2"/>
        <scheme val="minor"/>
      </rPr>
      <t xml:space="preserve"> או </t>
    </r>
    <r>
      <rPr>
        <sz val="11"/>
        <color theme="1"/>
        <rFont val="Arial"/>
        <family val="2"/>
      </rPr>
      <t>$a_j + j = a_i + i$</t>
    </r>
    <r>
      <rPr>
        <sz val="11"/>
        <color theme="1"/>
        <rFont val="Calibri"/>
        <family val="2"/>
        <scheme val="minor"/>
      </rPr>
      <t>. כמו כן, נשים לב כי שני התנאים לא יכולים להתקיים בו-זמנית (מה שימנע ספירה כפולה). אלגוריתם – נעזר ב-2 מילונים במימוש hash table בגודל $n$ בשיטת chaining. נסמן את המילונים ב-$D_1, D_2$. הערך שמתאים למפתח ימנה את כמות הפעמים שהכנסנו את המפתח. עבור $i = 1 \dots n$: נכניס את $a_i - i$ ל-$D_1$ עם ערך 1 אם הוא לא שם כבר, אחרת נגדיל את הערך שלו. נכניס את $a_i + i$ ל-$D_2$ עם ערך 1 אם הוא לא שם כבר, אחרת נגדיל את הערך שלו. לסיום, נעבור על כל הערכים במילונים ולכל ערך $x$ נוסיף לתשובה $\binom{x}{2}$. סיבוכיות $O(n)$ בתוחלת: כמות ליניארית של פעולות על טבלת hash בגודל $n$ שעולות זמן קבוע בתוחלת, ולסיום עוד מעבר על הטבלה שעולה $O(n)$ במקרה הגרוע.</t>
    </r>
  </si>
  <si>
    <r>
      <t xml:space="preserve">הטריק הקלאסי בשאלות מסוג זה הוא לבודד משתנים: </t>
    </r>
    <r>
      <rPr>
        <sz val="11"/>
        <color theme="1"/>
        <rFont val="Arial"/>
        <family val="2"/>
      </rPr>
      <t>$|a_j - a_i| = j - i$</t>
    </r>
    <r>
      <rPr>
        <sz val="11"/>
        <color theme="1"/>
        <rFont val="Calibri"/>
        <family val="2"/>
        <scheme val="minor"/>
      </rPr>
      <t xml:space="preserve"> אם </t>
    </r>
    <r>
      <rPr>
        <sz val="11"/>
        <color theme="1"/>
        <rFont val="Arial"/>
        <family val="2"/>
      </rPr>
      <t>$a_j - a_i = j - i$</t>
    </r>
    <r>
      <rPr>
        <sz val="11"/>
        <color theme="1"/>
        <rFont val="Calibri"/>
        <family val="2"/>
        <scheme val="minor"/>
      </rPr>
      <t xml:space="preserve"> או </t>
    </r>
    <r>
      <rPr>
        <sz val="11"/>
        <color theme="1"/>
        <rFont val="Arial"/>
        <family val="2"/>
      </rPr>
      <t>$a_i - a_j = j - i$</t>
    </r>
    <r>
      <rPr>
        <sz val="11"/>
        <color theme="1"/>
        <rFont val="Calibri"/>
        <family val="2"/>
        <scheme val="minor"/>
      </rPr>
      <t xml:space="preserve"> אם </t>
    </r>
    <r>
      <rPr>
        <sz val="11"/>
        <color theme="1"/>
        <rFont val="Arial"/>
        <family val="2"/>
      </rPr>
      <t>$a_j - i = a_i - j$</t>
    </r>
    <r>
      <rPr>
        <sz val="11"/>
        <color theme="1"/>
        <rFont val="Calibri"/>
        <family val="2"/>
        <scheme val="minor"/>
      </rPr>
      <t xml:space="preserve"> או </t>
    </r>
    <r>
      <rPr>
        <sz val="11"/>
        <color theme="1"/>
        <rFont val="Arial"/>
        <family val="2"/>
      </rPr>
      <t>$a_j + j = a_i + i$</t>
    </r>
    <r>
      <rPr>
        <sz val="11"/>
        <color theme="1"/>
        <rFont val="Calibri"/>
        <family val="2"/>
        <scheme val="minor"/>
      </rPr>
      <t>. כמו כן, נשים לב כי שני התנאים לא יכולים להתקיים בו-זמנית (מה שימנע ספירה כפולה). ניצור 2 מערכים, אחד עם הערכים $a_i + i$, השני עם $a_i - i$. נבחין כי כל הערכים שלמים בתחום $\{-n^2 - n, \dots, n^2 + n\}$ ולכן אנו יודעים למיין אותם בזמן ליניארי עם radix sort. לסיום נעבור על כל אחד מהמערכים הממוינים, במידה ויש רצף של $x$ מפתחות זהים, נוסיף לתשובה $\binom{x}{2}$. סה"כ סיבוכיות $O(n)$.</t>
    </r>
  </si>
  <si>
    <r>
      <t xml:space="preserve">יש מספר פתרונות אפשריים: פתרון ראשון: עץ AVL שיכיל את המפתחות וערימת מקסימום שתכיל את השכיחויות של המפתחות ומצביעים דו כיווניים ביניהם. Insert(k): נחפש את k. אם k לא בעץ אז נכניס אותו לעץ ולערמה עם </t>
    </r>
    <r>
      <rPr>
        <sz val="11"/>
        <color theme="1"/>
        <rFont val="Arial"/>
        <family val="2"/>
      </rPr>
      <t>$value = 1$</t>
    </r>
    <r>
      <rPr>
        <sz val="11"/>
        <color theme="1"/>
        <rFont val="Calibri"/>
        <family val="2"/>
        <scheme val="minor"/>
      </rPr>
      <t xml:space="preserve">, אחרת נגדיל את ערכו בערמה ונעשה heapify up. delete(k): נחפש את k. אם </t>
    </r>
    <r>
      <rPr>
        <sz val="11"/>
        <color theme="1"/>
        <rFont val="Arial"/>
        <family val="2"/>
      </rPr>
      <t>$value = 1$</t>
    </r>
    <r>
      <rPr>
        <sz val="11"/>
        <color theme="1"/>
        <rFont val="Calibri"/>
        <family val="2"/>
        <scheme val="minor"/>
      </rPr>
      <t xml:space="preserve"> אז נמחק את הצומת המתאים ל k מהעץ ומהערימה. אחרת נעשה נקטן את </t>
    </r>
    <r>
      <rPr>
        <sz val="11"/>
        <color theme="1"/>
        <rFont val="Arial"/>
        <family val="2"/>
      </rPr>
      <t>$value$</t>
    </r>
    <r>
      <rPr>
        <sz val="11"/>
        <color theme="1"/>
        <rFont val="Calibri"/>
        <family val="2"/>
        <scheme val="minor"/>
      </rPr>
      <t xml:space="preserve"> ב-1 בערמה ונבצע heapify down. freq(k): נחפש את k ונחזיר את ה </t>
    </r>
    <r>
      <rPr>
        <sz val="11"/>
        <color theme="1"/>
        <rFont val="Arial"/>
        <family val="2"/>
      </rPr>
      <t>$value$</t>
    </r>
    <r>
      <rPr>
        <sz val="11"/>
        <color theme="1"/>
        <rFont val="Calibri"/>
        <family val="2"/>
        <scheme val="minor"/>
      </rPr>
      <t xml:space="preserve"> שלו. mostFreq(): נחזיר הערך בראש הערמה ואת המפתח המתאים לו. פתרון שני: נעזר בעץ AVL אליו נכניס את המפתחות. לכל מפתח נצמיד </t>
    </r>
    <r>
      <rPr>
        <sz val="11"/>
        <color theme="1"/>
        <rFont val="Arial"/>
        <family val="2"/>
      </rPr>
      <t>$value$</t>
    </r>
    <r>
      <rPr>
        <sz val="11"/>
        <color theme="1"/>
        <rFont val="Calibri"/>
        <family val="2"/>
        <scheme val="minor"/>
      </rPr>
      <t xml:space="preserve"> שמציין כמה פעמי המפתח הוכנס. בנוסף נחזיק שדה בכל צומת של </t>
    </r>
    <r>
      <rPr>
        <sz val="11"/>
        <color theme="1"/>
        <rFont val="Arial"/>
        <family val="2"/>
      </rPr>
      <t>$maxVal$</t>
    </r>
    <r>
      <rPr>
        <sz val="11"/>
        <color theme="1"/>
        <rFont val="Calibri"/>
        <family val="2"/>
        <scheme val="minor"/>
      </rPr>
      <t xml:space="preserve">: מהו ה </t>
    </r>
    <r>
      <rPr>
        <sz val="11"/>
        <color theme="1"/>
        <rFont val="Arial"/>
        <family val="2"/>
      </rPr>
      <t>$value$</t>
    </r>
    <r>
      <rPr>
        <sz val="11"/>
        <color theme="1"/>
        <rFont val="Calibri"/>
        <family val="2"/>
        <scheme val="minor"/>
      </rPr>
      <t xml:space="preserve"> המקסימלי בתת העץ של הצומת. נבחין כי ניתן לחשב את השדה על סמך ערך השדה אצל הבנים: </t>
    </r>
    <r>
      <rPr>
        <sz val="11"/>
        <color theme="1"/>
        <rFont val="Arial"/>
        <family val="2"/>
      </rPr>
      <t>$node.maxVal = max\{node.left.maxVal, node.right.maxVal, node.node.val\}$</t>
    </r>
    <r>
      <rPr>
        <sz val="11"/>
        <color theme="1"/>
        <rFont val="Calibri"/>
        <family val="2"/>
        <scheme val="minor"/>
      </rPr>
      <t xml:space="preserve">. לכן, לפי משפט מהתרגיל, ניתן לתחזק את השדה </t>
    </r>
    <r>
      <rPr>
        <sz val="11"/>
        <color theme="1"/>
        <rFont val="Arial"/>
        <family val="2"/>
      </rPr>
      <t>$maxVal$</t>
    </r>
    <r>
      <rPr>
        <sz val="11"/>
        <color theme="1"/>
        <rFont val="Calibri"/>
        <family val="2"/>
        <scheme val="minor"/>
      </rPr>
      <t xml:space="preserve"> בהוספה אם k לא בעץ אז נכניס אותו עם </t>
    </r>
    <r>
      <rPr>
        <sz val="11"/>
        <color theme="1"/>
        <rFont val="Arial"/>
        <family val="2"/>
      </rPr>
      <t>$value = 1$</t>
    </r>
    <r>
      <rPr>
        <sz val="11"/>
        <color theme="1"/>
        <rFont val="Calibri"/>
        <family val="2"/>
        <scheme val="minor"/>
      </rPr>
      <t xml:space="preserve">, אחרת </t>
    </r>
    <r>
      <rPr>
        <sz val="11"/>
        <color theme="1"/>
        <rFont val="Arial"/>
        <family val="2"/>
      </rPr>
      <t>$value++$</t>
    </r>
    <r>
      <rPr>
        <sz val="11"/>
        <color theme="1"/>
        <rFont val="Calibri"/>
        <family val="2"/>
        <scheme val="minor"/>
      </rPr>
      <t xml:space="preserve">. במחיקה נחפש את k. אם </t>
    </r>
    <r>
      <rPr>
        <sz val="11"/>
        <color theme="1"/>
        <rFont val="Arial"/>
        <family val="2"/>
      </rPr>
      <t>$value = 1$</t>
    </r>
    <r>
      <rPr>
        <sz val="11"/>
        <color theme="1"/>
        <rFont val="Calibri"/>
        <family val="2"/>
        <scheme val="minor"/>
      </rPr>
      <t xml:space="preserve"> אז נמחק את k מהעץ. אחרת נעשה נקטן את </t>
    </r>
    <r>
      <rPr>
        <sz val="11"/>
        <color theme="1"/>
        <rFont val="Arial"/>
        <family val="2"/>
      </rPr>
      <t>$value$</t>
    </r>
    <r>
      <rPr>
        <sz val="11"/>
        <color theme="1"/>
        <rFont val="Calibri"/>
        <family val="2"/>
        <scheme val="minor"/>
      </rPr>
      <t xml:space="preserve"> ב-1. freq(k): נחפש את k ונחזיר את ה </t>
    </r>
    <r>
      <rPr>
        <sz val="11"/>
        <color theme="1"/>
        <rFont val="Arial"/>
        <family val="2"/>
      </rPr>
      <t>$value$</t>
    </r>
    <r>
      <rPr>
        <sz val="11"/>
        <color theme="1"/>
        <rFont val="Calibri"/>
        <family val="2"/>
        <scheme val="minor"/>
      </rPr>
      <t xml:space="preserve"> שלו. mostFreq(): נחזיר הערך בראש העץ ואת המפתח המתאים לו (נשמור).</t>
    </r>
  </si>
  <si>
    <r>
      <t xml:space="preserve">נשתמש במילון מבוסס hashing במימוש chaining עם טבלה בגודל </t>
    </r>
    <r>
      <rPr>
        <sz val="11"/>
        <color theme="1"/>
        <rFont val="Arial"/>
        <family val="2"/>
      </rPr>
      <t>$n$</t>
    </r>
    <r>
      <rPr>
        <sz val="11"/>
        <color theme="1"/>
        <rFont val="Calibri"/>
        <family val="2"/>
        <scheme val="minor"/>
      </rPr>
      <t xml:space="preserve">. כמו בסעיף א, לכל מפתח נתאים גם </t>
    </r>
    <r>
      <rPr>
        <sz val="11"/>
        <color theme="1"/>
        <rFont val="Arial"/>
        <family val="2"/>
      </rPr>
      <t>$value$</t>
    </r>
    <r>
      <rPr>
        <sz val="11"/>
        <color theme="1"/>
        <rFont val="Calibri"/>
        <family val="2"/>
        <scheme val="minor"/>
      </rPr>
      <t xml:space="preserve"> שיהיה מונה לכמות הפעמים שהוכנס המפתח. בנוסף נחזיק שדה גלובאלי </t>
    </r>
    <r>
      <rPr>
        <sz val="11"/>
        <color theme="1"/>
        <rFont val="Arial"/>
        <family val="2"/>
      </rPr>
      <t>$maxVal$</t>
    </r>
    <r>
      <rPr>
        <sz val="11"/>
        <color theme="1"/>
        <rFont val="Calibri"/>
        <family val="2"/>
        <scheme val="minor"/>
      </rPr>
      <t xml:space="preserve"> של השכיחות המרבית. בגלל שאין מחיקות אז </t>
    </r>
    <r>
      <rPr>
        <sz val="11"/>
        <color theme="1"/>
        <rFont val="Arial"/>
        <family val="2"/>
      </rPr>
      <t>$maxVal$</t>
    </r>
    <r>
      <rPr>
        <sz val="11"/>
        <color theme="1"/>
        <rFont val="Calibri"/>
        <family val="2"/>
        <scheme val="minor"/>
      </rPr>
      <t xml:space="preserve"> רק יכול לגדול. insert(k): אם k לא במילון אז נכניס אותו עם </t>
    </r>
    <r>
      <rPr>
        <sz val="11"/>
        <color theme="1"/>
        <rFont val="Arial"/>
        <family val="2"/>
      </rPr>
      <t>$value = 1$</t>
    </r>
    <r>
      <rPr>
        <sz val="11"/>
        <color theme="1"/>
        <rFont val="Calibri"/>
        <family val="2"/>
        <scheme val="minor"/>
      </rPr>
      <t xml:space="preserve">, אחרת </t>
    </r>
    <r>
      <rPr>
        <sz val="11"/>
        <color theme="1"/>
        <rFont val="Arial"/>
        <family val="2"/>
      </rPr>
      <t>$value++$</t>
    </r>
    <r>
      <rPr>
        <sz val="11"/>
        <color theme="1"/>
        <rFont val="Calibri"/>
        <family val="2"/>
        <scheme val="minor"/>
      </rPr>
      <t xml:space="preserve">. delete(k): נחפש את k. אם </t>
    </r>
    <r>
      <rPr>
        <sz val="11"/>
        <color theme="1"/>
        <rFont val="Arial"/>
        <family val="2"/>
      </rPr>
      <t>$value = 1$</t>
    </r>
    <r>
      <rPr>
        <sz val="11"/>
        <color theme="1"/>
        <rFont val="Calibri"/>
        <family val="2"/>
        <scheme val="minor"/>
      </rPr>
      <t xml:space="preserve"> אז נמחק את k מהמילון. אחרת נעשה נקטן את </t>
    </r>
    <r>
      <rPr>
        <sz val="11"/>
        <color theme="1"/>
        <rFont val="Arial"/>
        <family val="2"/>
      </rPr>
      <t>$value$</t>
    </r>
    <r>
      <rPr>
        <sz val="11"/>
        <color theme="1"/>
        <rFont val="Calibri"/>
        <family val="2"/>
        <scheme val="minor"/>
      </rPr>
      <t xml:space="preserve"> ב-1. freq(k): נחפש את k ונחזיר את ה </t>
    </r>
    <r>
      <rPr>
        <sz val="11"/>
        <color theme="1"/>
        <rFont val="Arial"/>
        <family val="2"/>
      </rPr>
      <t>$value$</t>
    </r>
    <r>
      <rPr>
        <sz val="11"/>
        <color theme="1"/>
        <rFont val="Calibri"/>
        <family val="2"/>
        <scheme val="minor"/>
      </rPr>
      <t xml:space="preserve"> שלו. mostFreq(): נחזיר </t>
    </r>
    <r>
      <rPr>
        <sz val="11"/>
        <color theme="1"/>
        <rFont val="Arial"/>
        <family val="2"/>
      </rPr>
      <t>$maxVal$</t>
    </r>
    <r>
      <rPr>
        <sz val="11"/>
        <color theme="1"/>
        <rFont val="Calibri"/>
        <family val="2"/>
        <scheme val="minor"/>
      </rPr>
      <t>.</t>
    </r>
  </si>
  <si>
    <r>
      <t xml:space="preserve">משתמשים ברמז. נניח בשלילה שלכל </t>
    </r>
    <r>
      <rPr>
        <sz val="11"/>
        <color theme="1"/>
        <rFont val="Arial"/>
        <family val="2"/>
      </rPr>
      <t>$i$</t>
    </r>
    <r>
      <rPr>
        <sz val="11"/>
        <color theme="1"/>
        <rFont val="Calibri"/>
        <family val="2"/>
        <scheme val="minor"/>
      </rPr>
      <t xml:space="preserve"> מתקיים </t>
    </r>
    <r>
      <rPr>
        <sz val="11"/>
        <color theme="1"/>
        <rFont val="Arial"/>
        <family val="2"/>
      </rPr>
      <t>$B[i+1] - B[i] &gt; \frac{M_A-m_A}{n-1}$</t>
    </r>
    <r>
      <rPr>
        <sz val="11"/>
        <color theme="1"/>
        <rFont val="Calibri"/>
        <family val="2"/>
        <scheme val="minor"/>
      </rPr>
      <t xml:space="preserve">. נסכום את הביטוי עבור </t>
    </r>
    <r>
      <rPr>
        <sz val="11"/>
        <color theme="1"/>
        <rFont val="Arial"/>
        <family val="2"/>
      </rPr>
      <t>$1 \le i \le n-1$</t>
    </r>
    <r>
      <rPr>
        <sz val="11"/>
        <color theme="1"/>
        <rFont val="Calibri"/>
        <family val="2"/>
        <scheme val="minor"/>
      </rPr>
      <t xml:space="preserve"> ונקבל </t>
    </r>
    <r>
      <rPr>
        <sz val="11"/>
        <color theme="1"/>
        <rFont val="Arial"/>
        <family val="2"/>
      </rPr>
      <t>$M_A - m_A = B[n] - B[1] &gt; (n-1) \frac{M_A-m_A}{n-1} = M_A - m_A$</t>
    </r>
    <r>
      <rPr>
        <sz val="11"/>
        <color theme="1"/>
        <rFont val="Calibri"/>
        <family val="2"/>
        <scheme val="minor"/>
      </rPr>
      <t>. בסתירה.</t>
    </r>
  </si>
  <si>
    <r>
      <t xml:space="preserve">אלגוריתם רקורסיבי: בהתחלה טווח האינדקסים הוא </t>
    </r>
    <r>
      <rPr>
        <sz val="11"/>
        <color theme="1"/>
        <rFont val="Arial"/>
        <family val="2"/>
      </rPr>
      <t>$[1, n]$</t>
    </r>
    <r>
      <rPr>
        <sz val="11"/>
        <color theme="1"/>
        <rFont val="Calibri"/>
        <family val="2"/>
        <scheme val="minor"/>
      </rPr>
      <t xml:space="preserve">. נניח שכעת טווח האינדקסים הוא </t>
    </r>
    <r>
      <rPr>
        <sz val="11"/>
        <color theme="1"/>
        <rFont val="Arial"/>
        <family val="2"/>
      </rPr>
      <t>$[l, r]$</t>
    </r>
    <r>
      <rPr>
        <sz val="11"/>
        <color theme="1"/>
        <rFont val="Calibri"/>
        <family val="2"/>
        <scheme val="minor"/>
      </rPr>
      <t xml:space="preserve">. מקרה בסיס: אם </t>
    </r>
    <r>
      <rPr>
        <sz val="11"/>
        <color theme="1"/>
        <rFont val="Arial"/>
        <family val="2"/>
      </rPr>
      <t>$j = i+1$</t>
    </r>
    <r>
      <rPr>
        <sz val="11"/>
        <color theme="1"/>
        <rFont val="Calibri"/>
        <family val="2"/>
        <scheme val="minor"/>
      </rPr>
      <t xml:space="preserve">, התשובה תהיה האיברים </t>
    </r>
    <r>
      <rPr>
        <sz val="11"/>
        <color theme="1"/>
        <rFont val="Arial"/>
        <family val="2"/>
      </rPr>
      <t>$select(A, l), select(A, r)$</t>
    </r>
    <r>
      <rPr>
        <sz val="11"/>
        <color theme="1"/>
        <rFont val="Calibri"/>
        <family val="2"/>
        <scheme val="minor"/>
      </rPr>
      <t xml:space="preserve">. מקרה כללי </t>
    </r>
    <r>
      <rPr>
        <sz val="11"/>
        <color theme="1"/>
        <rFont val="Arial"/>
        <family val="2"/>
      </rPr>
      <t>$(j-i \ge 2)$</t>
    </r>
    <r>
      <rPr>
        <sz val="11"/>
        <color theme="1"/>
        <rFont val="Calibri"/>
        <family val="2"/>
        <scheme val="minor"/>
      </rPr>
      <t xml:space="preserve">: 1. נחשב את האמצע </t>
    </r>
    <r>
      <rPr>
        <sz val="11"/>
        <color theme="1"/>
        <rFont val="Arial"/>
        <family val="2"/>
      </rPr>
      <t>$m = l + \lfloor\frac{r-l}{2}\rfloor$</t>
    </r>
    <r>
      <rPr>
        <sz val="11"/>
        <color theme="1"/>
        <rFont val="Calibri"/>
        <family val="2"/>
        <scheme val="minor"/>
      </rPr>
      <t xml:space="preserve">. 2. נחשב </t>
    </r>
    <r>
      <rPr>
        <sz val="11"/>
        <color theme="1"/>
        <rFont val="Arial"/>
        <family val="2"/>
      </rPr>
      <t>$x_m = select(m), x_r = select(r), x_l = select(l)$</t>
    </r>
    <r>
      <rPr>
        <sz val="11"/>
        <color theme="1"/>
        <rFont val="Calibri"/>
        <family val="2"/>
        <scheme val="minor"/>
      </rPr>
      <t xml:space="preserve">. 3. נחשב </t>
    </r>
    <r>
      <rPr>
        <sz val="11"/>
        <color theme="1"/>
        <rFont val="Arial"/>
        <family val="2"/>
      </rPr>
      <t>$a = \frac{x_m-x_l}{m-l}, b = \frac{x_r-x_m}{r-m}$</t>
    </r>
    <r>
      <rPr>
        <sz val="11"/>
        <color theme="1"/>
        <rFont val="Calibri"/>
        <family val="2"/>
        <scheme val="minor"/>
      </rPr>
      <t xml:space="preserve">. 4. אם </t>
    </r>
    <r>
      <rPr>
        <sz val="11"/>
        <color theme="1"/>
        <rFont val="Arial"/>
        <family val="2"/>
      </rPr>
      <t>$a \le b$</t>
    </r>
    <r>
      <rPr>
        <sz val="11"/>
        <color theme="1"/>
        <rFont val="Calibri"/>
        <family val="2"/>
        <scheme val="minor"/>
      </rPr>
      <t xml:space="preserve"> אז נמשיך ברקורסיה על </t>
    </r>
    <r>
      <rPr>
        <sz val="11"/>
        <color theme="1"/>
        <rFont val="Arial"/>
        <family val="2"/>
      </rPr>
      <t>$[l, m]$</t>
    </r>
    <r>
      <rPr>
        <sz val="11"/>
        <color theme="1"/>
        <rFont val="Calibri"/>
        <family val="2"/>
        <scheme val="minor"/>
      </rPr>
      <t xml:space="preserve"> ואחרת על </t>
    </r>
    <r>
      <rPr>
        <sz val="11"/>
        <color theme="1"/>
        <rFont val="Arial"/>
        <family val="2"/>
      </rPr>
      <t>$[m, r]$</t>
    </r>
    <r>
      <rPr>
        <sz val="11"/>
        <color theme="1"/>
        <rFont val="Calibri"/>
        <family val="2"/>
        <scheme val="minor"/>
      </rPr>
      <t xml:space="preserve">. הנכונות נובעת מהטענה הבאה + סעיף א: טענה: לכל </t>
    </r>
    <r>
      <rPr>
        <sz val="11"/>
        <color theme="1"/>
        <rFont val="Arial"/>
        <family val="2"/>
      </rPr>
      <t>$1 \le i &lt; j &lt; k \le n$</t>
    </r>
    <r>
      <rPr>
        <sz val="11"/>
        <color theme="1"/>
        <rFont val="Calibri"/>
        <family val="2"/>
        <scheme val="minor"/>
      </rPr>
      <t xml:space="preserve"> מתקיים (כאשר המערך </t>
    </r>
    <r>
      <rPr>
        <sz val="11"/>
        <color theme="1"/>
        <rFont val="Arial"/>
        <family val="2"/>
      </rPr>
      <t>$B$</t>
    </r>
    <r>
      <rPr>
        <sz val="11"/>
        <color theme="1"/>
        <rFont val="Calibri"/>
        <family val="2"/>
        <scheme val="minor"/>
      </rPr>
      <t xml:space="preserve"> הוא ממוין) </t>
    </r>
    <r>
      <rPr>
        <sz val="11"/>
        <color theme="1"/>
        <rFont val="Arial"/>
        <family val="2"/>
      </rPr>
      <t>$\min\{\frac{B[k]-B[j]}{k-j}, \frac{B[j]-B[i]}{j-i}\} \le \frac{B[k]-B[i]}{k-i}$</t>
    </r>
    <r>
      <rPr>
        <sz val="11"/>
        <color theme="1"/>
        <rFont val="Calibri"/>
        <family val="2"/>
        <scheme val="minor"/>
      </rPr>
      <t>.</t>
    </r>
  </si>
  <si>
    <r>
      <t xml:space="preserve">מבנה הנתונים: עץ AVL רגיל. הכנסה, מחיקה וחיפוש ממומשים כרגיל ב </t>
    </r>
    <r>
      <rPr>
        <sz val="11"/>
        <color theme="1"/>
        <rFont val="Arial"/>
        <family val="2"/>
      </rPr>
      <t>$O(\log n)$</t>
    </r>
    <r>
      <rPr>
        <sz val="11"/>
        <color theme="1"/>
        <rFont val="Calibri"/>
        <family val="2"/>
        <scheme val="minor"/>
      </rPr>
      <t>. AlternatingDeletions(k): 1. נמיר את העץ למערך ממוין על ידי in-order. 2. נעביר בסדר ממוין את המפתחות הרלוונטיים למערך חדש. 3. נמיר את המערך הממוין החדש לעץ AVL עם האלגוריתם מהתרגיל. סיבוכיות שלושת השלבים הינה ליניארית.</t>
    </r>
  </si>
  <si>
    <r>
      <t xml:space="preserve">מבנה הנתונים: עץ AVL עם תחזוקת שדה size (בשביל selection יעיל). הכנסה, מחיקה וחיפוש ממומשים כרגיל ב </t>
    </r>
    <r>
      <rPr>
        <sz val="11"/>
        <color theme="1"/>
        <rFont val="Arial"/>
        <family val="2"/>
      </rPr>
      <t>$O(\log n)$</t>
    </r>
    <r>
      <rPr>
        <sz val="11"/>
        <color theme="1"/>
        <rFont val="Calibri"/>
        <family val="2"/>
        <scheme val="minor"/>
      </rPr>
      <t xml:space="preserve">. AlternatingDeletions(k): 1. נבצע </t>
    </r>
    <r>
      <rPr>
        <sz val="11"/>
        <color theme="1"/>
        <rFont val="Arial"/>
        <family val="2"/>
      </rPr>
      <t>$select(i \cdot \sqrt{n})$</t>
    </r>
    <r>
      <rPr>
        <sz val="11"/>
        <color theme="1"/>
        <rFont val="Calibri"/>
        <family val="2"/>
        <scheme val="minor"/>
      </rPr>
      <t xml:space="preserve"> עבור </t>
    </r>
    <r>
      <rPr>
        <sz val="11"/>
        <color theme="1"/>
        <rFont val="Arial"/>
        <family val="2"/>
      </rPr>
      <t>$i = 1 \dots \sqrt{n}$</t>
    </r>
    <r>
      <rPr>
        <sz val="11"/>
        <color theme="1"/>
        <rFont val="Calibri"/>
        <family val="2"/>
        <scheme val="minor"/>
      </rPr>
      <t xml:space="preserve"> ונשמור מצביעים לצמתים המתאימים. 2. נבצע split על כל האיברים הללו. נקבל רשימה של עצים. 3. נבצע join לכל העצים האי זוגיים. סה"כ בצענו </t>
    </r>
    <r>
      <rPr>
        <sz val="11"/>
        <color theme="1"/>
        <rFont val="Arial"/>
        <family val="2"/>
      </rPr>
      <t>$\Theta(n)$</t>
    </r>
    <r>
      <rPr>
        <sz val="11"/>
        <color theme="1"/>
        <rFont val="Calibri"/>
        <family val="2"/>
        <scheme val="minor"/>
      </rPr>
      <t xml:space="preserve"> פעולות </t>
    </r>
    <r>
      <rPr>
        <sz val="11"/>
        <color theme="1"/>
        <rFont val="Arial"/>
        <family val="2"/>
      </rPr>
      <t>$select, split, join$</t>
    </r>
    <r>
      <rPr>
        <sz val="11"/>
        <color theme="1"/>
        <rFont val="Calibri"/>
        <family val="2"/>
        <scheme val="minor"/>
      </rPr>
      <t>. הבהרות: הפעולה split מפצלת ל-2 עצים וצומת והפעולה join מקבלת 2 עצים בצומת. לכן נעזר בצמתים שקיבלנו מהפיצולים כאשר נבצע את סדרת פעולות ה join.</t>
    </r>
  </si>
  <si>
    <r>
      <t xml:space="preserve">מבנה הנתונים: 2 ערימות פיבונאצ'י, אחת מינימום והשנייה מקסימום: </t>
    </r>
    <r>
      <rPr>
        <sz val="11"/>
        <color theme="1"/>
        <rFont val="Arial"/>
        <family val="2"/>
      </rPr>
      <t>$H_m, H_M$</t>
    </r>
    <r>
      <rPr>
        <sz val="11"/>
        <color theme="1"/>
        <rFont val="Calibri"/>
        <family val="2"/>
        <scheme val="minor"/>
      </rPr>
      <t xml:space="preserve"> שישמרו את קצות הקטעים. בנוסף נתחזק ערימת פיבונאצ'י מקסימום לאורכי הקטעים </t>
    </r>
    <r>
      <rPr>
        <sz val="11"/>
        <color theme="1"/>
        <rFont val="Arial"/>
        <family val="2"/>
      </rPr>
      <t>$H_L$</t>
    </r>
    <r>
      <rPr>
        <sz val="11"/>
        <color theme="1"/>
        <rFont val="Calibri"/>
        <family val="2"/>
        <scheme val="minor"/>
      </rPr>
      <t xml:space="preserve">. שלושת הערימות יתחזקו בנוסף keys גם </t>
    </r>
    <r>
      <rPr>
        <sz val="11"/>
        <color theme="1"/>
        <rFont val="Arial"/>
        <family val="2"/>
      </rPr>
      <t>$value$</t>
    </r>
    <r>
      <rPr>
        <sz val="11"/>
        <color theme="1"/>
        <rFont val="Calibri"/>
        <family val="2"/>
        <scheme val="minor"/>
      </rPr>
      <t xml:space="preserve"> שהוא מצביע לקטע עצמו. בנוסף 3 הערימות יתחזקו מצביעים דו כיווניים. Insert(l, r): נבצע </t>
    </r>
    <r>
      <rPr>
        <sz val="11"/>
        <color theme="1"/>
        <rFont val="Arial"/>
        <family val="2"/>
      </rPr>
      <t>$H_m.insert(l), H_M.insert(r), H_L.insert(r-l)$</t>
    </r>
    <r>
      <rPr>
        <sz val="11"/>
        <color theme="1"/>
        <rFont val="Calibri"/>
        <family val="2"/>
        <scheme val="minor"/>
      </rPr>
      <t xml:space="preserve"> ונתחזק מצביעים דו כיווניים. Delete(I): נמחק באמצעות המצביעים המצביע ב 2 הערימות. Left(): נחזיר </t>
    </r>
    <r>
      <rPr>
        <sz val="11"/>
        <color theme="1"/>
        <rFont val="Arial"/>
        <family val="2"/>
      </rPr>
      <t>$H_m.min$</t>
    </r>
    <r>
      <rPr>
        <sz val="11"/>
        <color theme="1"/>
        <rFont val="Calibri"/>
        <family val="2"/>
        <scheme val="minor"/>
      </rPr>
      <t xml:space="preserve">. Right(): נחזיר </t>
    </r>
    <r>
      <rPr>
        <sz val="11"/>
        <color theme="1"/>
        <rFont val="Arial"/>
        <family val="2"/>
      </rPr>
      <t>$H_M.max$</t>
    </r>
    <r>
      <rPr>
        <sz val="11"/>
        <color theme="1"/>
        <rFont val="Calibri"/>
        <family val="2"/>
        <scheme val="minor"/>
      </rPr>
      <t xml:space="preserve">. Largest(): נחזיר </t>
    </r>
    <r>
      <rPr>
        <sz val="11"/>
        <color theme="1"/>
        <rFont val="Arial"/>
        <family val="2"/>
      </rPr>
      <t>$H_L.max$</t>
    </r>
    <r>
      <rPr>
        <sz val="11"/>
        <color theme="1"/>
        <rFont val="Calibri"/>
        <family val="2"/>
        <scheme val="minor"/>
      </rPr>
      <t>. Expand(I, c): באמצעות המצביעים הדו כיווניים, נגיע בשלוש הערימות לצמתים הרלוונטיים ונשנה אותם בהתאם (על ידי ביצוע increase key/ decrease key באמורטייזד קבוע).</t>
    </r>
  </si>
  <si>
    <r>
      <t xml:space="preserve">לא קיים: נניח בשלילה שקיים מבנה נתונים שכזה. נציג רדוקציה למיון. בהינתן מערך </t>
    </r>
    <r>
      <rPr>
        <sz val="11"/>
        <color theme="1"/>
        <rFont val="Arial"/>
        <family val="2"/>
      </rPr>
      <t>$a_1, a_2, \dots, a_n$</t>
    </r>
    <r>
      <rPr>
        <sz val="11"/>
        <color theme="1"/>
        <rFont val="Calibri"/>
        <family val="2"/>
        <scheme val="minor"/>
      </rPr>
      <t xml:space="preserve"> שנרצה למיין, נבצע את התהליך הבא: ראשית אם התחום הסדור ממנו נלקחו איברי המערך הוא </t>
    </r>
    <r>
      <rPr>
        <sz val="11"/>
        <color theme="1"/>
        <rFont val="Arial"/>
        <family val="2"/>
      </rPr>
      <t>$M$</t>
    </r>
    <r>
      <rPr>
        <sz val="11"/>
        <color theme="1"/>
        <rFont val="Calibri"/>
        <family val="2"/>
        <scheme val="minor"/>
      </rPr>
      <t xml:space="preserve"> אז נרחיב את התחום הסדור ונוסיף לו איבר חדש מקסימלי </t>
    </r>
    <r>
      <rPr>
        <sz val="11"/>
        <color theme="1"/>
        <rFont val="Arial"/>
        <family val="2"/>
      </rPr>
      <t>$\infty$</t>
    </r>
    <r>
      <rPr>
        <sz val="11"/>
        <color theme="1"/>
        <rFont val="Calibri"/>
        <family val="2"/>
        <scheme val="minor"/>
      </rPr>
      <t xml:space="preserve">. אלגוריתם המיון יהיה: 1. עבור </t>
    </r>
    <r>
      <rPr>
        <sz val="11"/>
        <color theme="1"/>
        <rFont val="Arial"/>
        <family val="2"/>
      </rPr>
      <t>$i = 1 \dots n$</t>
    </r>
    <r>
      <rPr>
        <sz val="11"/>
        <color theme="1"/>
        <rFont val="Calibri"/>
        <family val="2"/>
        <scheme val="minor"/>
      </rPr>
      <t xml:space="preserve">: נכניס את הקטע </t>
    </r>
    <r>
      <rPr>
        <sz val="11"/>
        <color theme="1"/>
        <rFont val="Arial"/>
        <family val="2"/>
      </rPr>
      <t>$(a_i, \infty)$</t>
    </r>
    <r>
      <rPr>
        <sz val="11"/>
        <color theme="1"/>
        <rFont val="Calibri"/>
        <family val="2"/>
        <scheme val="minor"/>
      </rPr>
      <t xml:space="preserve"> למבנה הנתונים. 2. עבור </t>
    </r>
    <r>
      <rPr>
        <sz val="11"/>
        <color theme="1"/>
        <rFont val="Arial"/>
        <family val="2"/>
      </rPr>
      <t>$i = 1 \dots n$</t>
    </r>
    <r>
      <rPr>
        <sz val="11"/>
        <color theme="1"/>
        <rFont val="Calibri"/>
        <family val="2"/>
        <scheme val="minor"/>
      </rPr>
      <t xml:space="preserve">: נדפיס את </t>
    </r>
    <r>
      <rPr>
        <sz val="11"/>
        <color theme="1"/>
        <rFont val="Arial"/>
        <family val="2"/>
      </rPr>
      <t>$left()$</t>
    </r>
    <r>
      <rPr>
        <sz val="11"/>
        <color theme="1"/>
        <rFont val="Calibri"/>
        <family val="2"/>
        <scheme val="minor"/>
      </rPr>
      <t xml:space="preserve"> לפלט של המערך הממוין ואז נמחוק אותו ממבנה הנתונים על ידי </t>
    </r>
    <r>
      <rPr>
        <sz val="11"/>
        <color theme="1"/>
        <rFont val="Arial"/>
        <family val="2"/>
      </rPr>
      <t>$delete()$</t>
    </r>
    <r>
      <rPr>
        <sz val="11"/>
        <color theme="1"/>
        <rFont val="Calibri"/>
        <family val="2"/>
        <scheme val="minor"/>
      </rPr>
      <t xml:space="preserve">. סה"כ ביצענו </t>
    </r>
    <r>
      <rPr>
        <sz val="11"/>
        <color theme="1"/>
        <rFont val="Arial"/>
        <family val="2"/>
      </rPr>
      <t>$\Theta(n)$</t>
    </r>
    <r>
      <rPr>
        <sz val="11"/>
        <color theme="1"/>
        <rFont val="Calibri"/>
        <family val="2"/>
        <scheme val="minor"/>
      </rPr>
      <t xml:space="preserve"> פעולות insert, left, delete שכולן בזמן אמורטייזד קבוע ולכן הצגנו אלגוריתם מיון המבצע </t>
    </r>
    <r>
      <rPr>
        <sz val="11"/>
        <color theme="1"/>
        <rFont val="Arial"/>
        <family val="2"/>
      </rPr>
      <t>$O(n)$</t>
    </r>
    <r>
      <rPr>
        <sz val="11"/>
        <color theme="1"/>
        <rFont val="Calibri"/>
        <family val="2"/>
        <scheme val="minor"/>
      </rPr>
      <t xml:space="preserve"> השוואות. בסתירה.</t>
    </r>
  </si>
  <si>
    <t>נאתחל טבלת hash בגודל $O(n)$. שמגיע איבר נבדוק אם $(T^{\frac{1}{3}}-3a_{i})/2$ שלם ואם כן נחפש אותו בטבלת האש ואם נמצא נענה כן ואחרת לא. לאחר מכן תמיד נוסיף את $a_{i}$ לטבלת ה hash. אפשר באופן אלטרנטיבי לבדוק בהגעת האיבר אם בטבלה ואם כן לענות כן ואחרת לא. לאחר מכן להכניס ל hash את $(T^{\frac{1}{3}}-2a_{i})/3$ אם שלם. אפשרות נוספת היא בהגעת איבר לבדוק את $(T^{\frac{1}{3}}-3a_{i})$ ולענות כן אם נמצא ולאחר מכן להכניס את $2a_{i}$. כל הפעולות מבוצעות בתוחלת זמן קבוע לכל מפתח</t>
  </si>
  <si>
    <t>נשתמש perfect hashing בגודל $O(n)$ שתכיל את כל המפתחות בתוחלת $O(n)$ זמן. בהינתן שאילתה x נבדוק אם $(T^{\frac{1}{3}}-3X)/2$ שלם ואם כן נחפש אותו בטבלת האש ואם נמצא נענה כן ואחרת לא. הבדיקה מתבצעת ב $O(1)$ worst case. באופן אלטרנטיבי אפשר להכניס רק את (עד n) המפתחות השלמים מבין $(T^{\frac{1}{3}}-2a_{i})/2$ בתוחלת זמן $O(n)$. בהינתן שאילתה x נבדוק אם ערכו נמצא בטבלה ולענות כן אם נמצא</t>
  </si>
  <si>
    <t>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t>
  </si>
  <si>
    <t>פתרון הסעיף הקודם: בסעיף זה נפעל על האיברים ומשקליהם כזוגות סדורים $(x_{i},w_{i})$ כך שבכל צעד תמיד נדע לקשר ביניהם. נמצא את חציון המערך לפי ערך $(x_{i})$, נסמן את האינדקס שלו m. נבצע חלוקה (partition) של המערך סביב m כך שהאיברים משמאלו קטנים/שווים, ומימינו גדולים/שווים. נסכם את המשקלים $(w_{i})$ של האיברים שמשמאל לחציון, נסמן סכום זה $T\equiv\Sigma_{i&lt;m}w_{i}$. אם $T+S\ge\frac{1}{2}$: נעתיק את האיברים שמשמאל לחציון למערך חדש, ונפעיל עליו את הקריאה הרקורסיבית עם המשקל המצטבר S. אחרת $(T+S&lt;\frac{1}{2})$ אם $T+S+w_{m}\ge\frac{1}{2}$: נחזיר את $x_{m}$ כערך המבוקש. אחרת $(T+S+w_{m}&lt;\frac{1}{2})$: נעתיק את האיברים שמימין לחציון למערך חדש, ונפעיל עליו את הקריאה הרקורסיבית עם המשקל המצטבר $S+T+w_{m}$. זמן הריצה הוא $\Theta(n)$. בסעיף זה אין משקלים אלא ערכים בלבד. תבנית הפתרון זהה לסעיף א', פרט לתיקוני הבדיקה הנדרשים: 0 במקום $\frac{1}{2}$ והשיוויון בתנאים "עובר צד". נסכם את ערכי האיברים $(a_{i})$ שמשמאל לחציון, נסמן סכום זה $T\equiv\Sigma_{i&lt;m}a_{i}$. אם $T+S&gt;0$: נעתיק את האיברים שמשמאל לחציון למערך חדש, ונפעיל עליו את הקריאה הרקורסיבית עם המשקל המצטבר S. אחרת $(T+S\le0)$ אם $T+S+a_{m}&gt;0$: נחזיר את $a_{m}$ כערך המבוקש. אחרת $(T+S+a_{m}\le0)$: נעתיק את האיברים שמימין לחציון למערך חדש, ונפעיל עליו את הקריאה הרקורסיבית עם הסכום המצטבר $S+T+a_{m}$</t>
  </si>
  <si>
    <t>נאתחל מערך פלט בגודל n. נשים לב שהאיבר המינימלי יכול להימצא ב-k+1 האיברים הראשונים. נבנה ערימת מינימום מ-k+1 האיברים הראשונים וכעת במשך n איטרציות נכניס את המינימום בערימה למיקום הבא במערך הפלט ונכניס את האיבר הבא במערך הקלט לערימה (אלא אם הגענו כבר לסוף מערך הקלט ואז לא נכניס). גודל הערימה בכל זמן $O(k)$ ולכן כל פעולה תקח $O(\log k)$ וסה"כ נקבל סיבוכיות זמן $O(n \log k)$</t>
  </si>
  <si>
    <t>נבצע חסם תחתון באמצעות עץ השוואות. נחסום כמה עלים יכולים להיות בכל עץ השוואות. ניקח מערך ממוין ונחלקו לבלוקים בגודל $\sqrt{n}$. נשים לב שאם נסדר כל בלוק בכל פרמוטציה שנבחר המערך שנקבל יקיים את תנאי השאלה. כל מערך כזה צריך להוביל לעלה שונה ולכן נקבל שיש $(\sqrt{n}!)^{\sqrt{n}}$ עלים בכל עץ השוואות. ולכן נדרש לפחות ל $\log((\sqrt{n}!)^{\sqrt{n}})=\Omega(n \log n)$ השוואות</t>
  </si>
  <si>
    <t>נשתמש בעץ AVL עם השוואה לפי גודל הזווית. הכנסה, מחיקה וחיפוש ב-$O(\log n)$. את פעולת מחיקת האיברים על קשת נממש כך: נבצע split לפי הנקודה $\theta_{1}$ לקבלת $T_{1},T_{2}$. לאחר מכן נבצע split על $T_{2}$ לפי הנקודה $\theta_{2}$ לקבלת $T_{1}^{\prime}$ המכיל נקודות בין $\theta_{1}$ לבין $\theta_{2}$. לסיום, נבצע פעולת join בין $T_{2}^{\prime}$ ו-$T_{1}$. במידה ו-$\theta_{1} &gt; \theta_{2}$, נחזיר את העץ המשלים $T_{1}^{\prime}$. כדי לתמוך בפעולה Rotate נשמור משתנה עזר שיצבור את הזוויות מודולו $2\pi$ ונתקן את כל הזוויות ע"י חיסור משתנה זה. סיבוכיות הפעולה היא $O(1)$</t>
  </si>
  <si>
    <t>נוכיח עבור המימוש build_heap. נבחין כי נבצע heapify_down על צומת אם רק אם ביקרנו בבנו השמאלי. נוכיח שנבקר בכל צומת בדיוק פעם אחת באינדוקציה על השכבות. עבור השכבה התחתונה (עלים) זה מיידי בגלל מבנה הלולאה. צעד האינדוקציה נובע מכך שנבקר בצומת רק אחרי שביקרנו את בנו השמאלי ומהנחת האינדוקציה זה יקרה פעם אחת. ניתוח סיבוכיות – זמן הריצה מסתכם ל $O(n)$</t>
  </si>
  <si>
    <t>הפרכה. למשל הערימה הבינארית [7,6,5,4,3,2,1]. העקרון להפרכה הוא שנבצע heapify_down לשורש בשלב די מוקדם של האלגוריתם (ונבצע זאת רק פעם אחת) ולכן אם לא ביקרנו במינימום עד כה אז הוא לעולם לא יגיע לשורש</t>
  </si>
  <si>
    <t>הוכחה. אנו עושים heapify_down לצומת (מיד לאחר שעשינו heapify_down לבנו הימני) רק לאחר שעשינו heapify_down לבנים שלו. כפי שראינו בשיעור, תכונה זאת מבטיחה שלאחר heapify_down בהכרח תת העץ של אותו הצומת יקיים את כלל הערימה</t>
  </si>
  <si>
    <t>נבנה עץ AVL ממערך ממוין של המספרים 1 עד n. אם i נמצא בעץ אז נחזיר i; אחרת, נכניס את i לעץ, נמצא את העוקב שלו x, ואם x &gt; j נחזיר שאין חדרים פנויים (נזכור להסיר את i במידה והכנסנו אותו). לחישוב כמות חדרים פנויים, נכניס את i, j לעץ (אם אינם שם), נחשב Rank(j) - Rank(i) ונחזיר את ההפרש בקיזוז האיברים שהכנסנו; בסיום נמחק אותם. לביצוע set(i, b): אם b=1 נכניס את i לעץ (אם לא קיים), ואם b=0 נמחק את i מהעץ</t>
  </si>
  <si>
    <t>במקרה הגרוע ביותר בהשוואה של כל האיברים לאיבר הפיבוט ירדו לפחות n/6 איברים ונשאר עם לכל היותר 5n/6 איברים. לכן נוסחת הרקורסיה היא $T(n) = T(n/6) + T(5n/6) + O(n)$ שפתרונה $T(n) = O(n \log n)$</t>
  </si>
  <si>
    <t>במקרה הגרוע ביותר ירדו לפחות $2 \cdot (1/3) \cdot n/6 + 3 \cdot (1/2 - 1/3) \cdot n/6 = 7n/36$ איברים ונישאר עם לכל היותר 29n/36 איברים. לכן נוסחת הרקורסיה היא $T(n) = T(n/6) + T(29n/36) + O(n)$ שפתרונה $T(n) = O(n)$</t>
  </si>
  <si>
    <t>נוכיח חסם תחתון על ידי רדוקציה ממיון: בהינתן קלט $a_0, \dots, a_{n-1}$, נבנה שרוך "נחמד" בגודל n כך שבצומת בעומק i יהיה האיבר $a_i$. עבור כל $1 \le i \le n-1$, אם הערך בצומת ה-i בעומקו קטן מאביו נשים אותו בתור בן שמאלי, אחרת בן ימני. הרדוקציה לוקחת $O(n)$ ולכן לפי חסם תחתון למיון $T(n) = \Omega(n \log n) - O(n) = \Omega(n \log n)$</t>
  </si>
  <si>
    <t>נבנה עץ בינארי מושלם בעומק $\lceil \log n \rceil + 1$ המכיל את הערך $\infty-$ בכל הצמתים. נציב את איברי הקלט ב-n עלים ימניים שונים כלשהם; העץ נשאר "נחמד" כי כל האיברים גדולים שווים ממינוס אינסוף. מיון העץ המושלם ה"נחמד" מניב מיון של הקלט המקורי בזמן $T(n) = \Omega(n \log n)$</t>
  </si>
  <si>
    <t>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t>
  </si>
  <si>
    <t>פתרון הסעיף הקודם: נחזיק רשימה דו-מקושרת L של חוליות הנחש וטבלת האש H. בכל צעד: 1. נחשב $q = L.getLast()$ (הזנב הישן), נבצע $H.delete(q)$ ו-$L.deleteLast()$. 2. נבדוק אם ראש הנחש החדש p מתנגש בקירות או אם $H.find(p)$ חיובי (התנגשות עצמית); אם כן - סיימנו. 3. אחרת, נבצע $L.insertFirst(p)$ ו-$H.insert(p)$. סיבוכיות: $O(1)$ זמן בתוחלת. הסעיף הנוכחי: הפתרון זהה לסעיף א', אך H יהיה עץ-חיפוש-בינארי מאוזן (כגון עץ AVL) עם יחס-סדר לקסיקוגרפי על נקודות. סיבוכיות: $O(\log n)$ זמן במקרה-הגרוע</t>
  </si>
  <si>
    <t>למה: יהי x צומת מדרגה k ו-y₁,…,yₖ ילדיו לפי סדר החיבור. אז דרגת yᵢ היא לפחות i−3. הוכחה: יהי x צומת מדרגה k ויהיו $y_1, \dots, y_k$ בניו לפי סדר חיבורם. כאשר חיברנו את $y_i$ ל-x, הדרגה של x הייתה לפחות $i-1$, ולכן גם דרגתו של $y_i$ הייתה לפחות $i-1$ בזמן החיבור. $y_i$ יכל לאבד עד שני בנים, ולכן דרגתו הנוכחית היא לפחות $i-3$</t>
  </si>
  <si>
    <t>נסמן ב-$S_k$ את המספר המינימלי של צמתים בעץ מדרגה k. מסעיף א' נובע $S_k \ge S_k-1 + S_k-3$. מהרמז נובע $S_k \ge c^k$ עבור $c &gt; 1$. עבור עץ עם n צמתים ודרגה k, מתקיף $n \ge S_k \ge c^k$, ולכן $k \le \log_c n$, כלומר $k = O(\log n)$</t>
  </si>
  <si>
    <t>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תארו מבנה נתונים התומך בנ"ל בזמן קבוע בתוחלת עבור הכנסה של מפתח. הניחו ש- n ידוע מראש ושניתן לאתחל מערך אפסים בזמן קבוע</t>
  </si>
  <si>
    <t xml:space="preserve">מגיעים מפתחות שונים $a_{1},a_{2},...,a_{n}$ (שהם מספרים שלמים בתחום גדול וידוע מראש) זה אחר זה. כשמגיע $a_{i}$ יש לענות לפני הגעת המפתח הבא (כלומר לפני הגעת $(a_{i+1}$) אם קיים $1\le j&lt;i$ כך ש$(2a_{j}+3a_{i})^{3}=T$. הניחו ש T הוא חזקה שלישית של מספר שלם. עכשיו נניח שכל המפתחות (מהתחום הנייל) נתונים מראש ואפשר לעבד אותם בזמן לינארי בתוחלת. לאחר מכן בהינתן שאילתה חדשה של מפתח שערכו x (גם מהתחום הנ"ל) יש לבדוק בזמן קבוע (לא בתוחלת) אם קיים כך ש $(2a_{i}+3x)^{3}=T$ </t>
  </si>
  <si>
    <t xml:space="preserve">הבהרה: בשני הסעיפים מותר להשתמש באלגוריתם למציאת חציון בזמן לינארי כקופסה שחורה. א. בבעיית החציון הממושקל, נתונים איברים שונים $x_{1},x_{2},...,x_{n}$ בעלי משקלים חיוביים $w_{1},w_{2},...,w_{n}$ כך $w_{1}+w_{2}+...+w_{n}=1$ החציון (התחתון) הממושקל הוא האיבר $x_{k}$ כך שסכום משקלי האיברים הקטנים ממנו קטן מחצי, וסכום משקלי האיברים הגדולים ממנו קטן או שווה לחצי. במילים אחרות, מתקיים: $\sum_{x_{i}&lt;x_{k}}w_{i}&lt;\frac{1}{2},\sum_{x_{i}&gt;x_{k}}w_{i}\le\frac{1}{2}$ כלומר, אם היינו ממיינים המשקלים שלהם מהאיבר הקטן לאיבר הגדול, האיבר $x_{k}$ הוא הראשון שבו היינו מגיעים לסכום משקלים של חצי או יותר. הראו כיצד למצוא את החציון הממושקל בזמן $.O(n)$ </t>
  </si>
  <si>
    <t xml:space="preserve">הבהרה: בשני הסעיפים מותר להשתמש באלגוריתם למציאת חציון בזמן לינארי כקופסה שחורה. ב. נתונים מספרים $,a_{1},a_{2},...,a_{n}$ שסכומם חיובי. הראו כיצד ניתן למצוא את המספר המינימלי שסכום המספרים הקטנים או שווים אליו הוא חיובי בסיבוכיות זמן $.O(n)$ </t>
  </si>
  <si>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א. הציעו אלגוריתם שממיין את המערך בזמן $O(n~log~k)$ במקרה הגרוע.</t>
  </si>
  <si>
    <t>נתון מערך בגודל המכיל n איברים שונים זה מזה. בנוסף, נתון שעבור כל בין 1 ל , האיבר ה-1 בגודלו נמצא באחד המקומות $i-k,i-k+1,...,i+k$ במערך (אם קיימים מקומות כאלו במערך), עבור פרמטר k כלשהו בין 1 ל- . כלומר, מרחק האיבר ממקומו הממוין אינו יותר מ-k. ב. עבור $,k=\sqrt{n}$ הוכיחו חסם של $\Omega(n~log~n)$ למיון המערך</t>
  </si>
  <si>
    <t>בשאלה זו תתבקשו לממש מבנה נתונים המכיל איברים בעלי מפתחות שונים שהם נקודות על מעגל היחידה. נייצג נקודה על מעגל היחידה בעזרת הזווית בין הישר שעובר בנקודה וראשית הצירים ובין הצד החיובי של ציר ה-x. על המבנה לתמוך בפעולות הבאות : • (0 ,Insert (info - הוספת האיבר info עם מפתח 0. (0)Delete - מחיקת האיבר עם מפתח (ניתן להניח כי קיים). (0)search - מחזירה את האיבר בעל מפתח 0 אם קיים במבנה, אחרת null. (0)Rotate - מסובבת את כל הנקודות במבנה ב רדיאנים, נגד כיוון השעון. מחיקת כל האיברים במבנה בעלי מפתחות על הקשת של $-DeleteArc(\theta_{1},\theta_{2})$ מעגל היחידה שמתחילה ב $\theta_{1}$ ומסתיימת $\theta_{2}I$, נגד כיוון השעון (כולל הקצוות). בכל הפעולות מתקיים $\theta,\theta_{1},\theta_{2}\in[0,2\pi)$. על כל הפעולות לרוץ בזמן (log n)0, פרט לפעולה Rotate שצריכה להתבצע ב (1)0</t>
  </si>
  <si>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א. הוכיחו כי נבצע על כל צומת שאינו עלה פעולת Heapify_down בדיוק פעם אחת. הסיקו חסם הדוק לזמן הריצה של המימושים.</t>
  </si>
  <si>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ב. האם המימוש Build_heap1 מחזיר ערימה תקינה? הוכיחו או ספקו דוגמה נגדית.</t>
  </si>
  <si>
    <t>להלן המימוש לפעולת Build_heap של ערימה בינארית. מצורפים 2 מימושים נוספים. נניח כי $N = 2^k - 1$ (מספר האיברים במבנה), כלומר העץ מושלם. נזכיר כי המערך A המייצג את הערימה מתחיל באינדקס 1. Build_heap(A): $N = len(A)$ for $i = \lfloor \frac{N}{2} \rfloor, \dots, 1$: Heapify_down(A,i) Build_heap1(A): $N = len(A)$ for $i = \lceil \frac{N}{2} \rceil, \dots, N$: j=i while j is even and $j &gt; 1$: $j = \lfloor \frac{j}{2} \rfloor$ Heapify_down(A,j) Build_heap2(A): $N = len(A)$ for $i = \lceil \frac{N}{2} \rceil, \dots, N$: j=i while j is odd and $j &gt; 1$: $j = \lfloor \frac{j}{2} \rfloor$ Heapify_down(A,j) ג. האם המימוש Build_heap2 מחזיר ערימה תקינה? הוכיחו או ספקו דוגמה נגדית.</t>
  </si>
  <si>
    <t>במלון של חיים יש n חדרים. כל חדר פנוי או תפוס. עזרו לחיים לממש מבנה נתונים לתחזוק תפוסת החדרים, שיתמוך בפעולות הבאות: (init (n - אתחול מבנה נתונים המתאים ל-n חדרים פנויים. (find (i,j - מחזיר את אינדקס החדר הפנוי המינימלי מבין החדרים $[i,j]$ או מציין שאין. (count (i,j - מחזיר את מספר החדרים הפנויים בטווח החדרים $[i,j]$. (update (i, b - אם $b=0$ אז החדר ה-i תפוס, אם $b=1$ אז החדר ה-i פנוי. על פעולת (init (n לרוץ בזמן $O(n)$, על כל שאר הפעולות לרוץ בזמן $O(\log n)$.</t>
  </si>
  <si>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נתבונן בוריאנט הדלתקרון בו מחלקים לשישיות שרירותית ומוצאים בשישיות באינדקס זוגי (חצי מהשישיות) את האיבר השני בגודלו ובשישיות באינדקס אי-זוגי את האיבר השלישי בגודלו ואז נמצא ברקורסיה את חציון האיברים האלו ונשתמש בו כפיבוט. מצאו חסם הדוק ככל שתוכלו לאלגוריתם עם וריאנט הדלתקרון.</t>
  </si>
  <si>
    <t>ניזכר באלגוריתם ל selection שמחלק את האיברים ל $n/5$ חמישיות, מוצא חציון בכל חמישייה ואז מוצא את חציון החציונים ברקורסיה ומשתמש בו כאיבר פיבוט (pivot) שמשווה לכולם וממשיך ברקורסיה בחלק המתאים – אלגוריתם זה ייקרא וריאנט אלפא. בוריאנט האומיקרון שוב מחלקים שרירותית לשישיות. עבור השליש הראשון של השישיות נמצא את האיבר השני בגודלו ובשאר השישיות נמצא את האיבר השלישי בגודלו ואז ברקורסיה נמצא את חציון האיברים האלו ונשתמש בחציון זה כפיבוט. מצאו חסם הדוק ככל שתוכלו לאלגוריתם עם וריאנט האומיקרון.</t>
  </si>
  <si>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תנו דוגמה לעץ "נחמד" שאינו עץ חיפוש בינארי.</t>
  </si>
  <si>
    <t>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שרוך בסיבוכיות טובה יותר $O(n \log n)$. הבהרה: "שרוך" הוא עץ שבו לכל קודקוד יש בן יחיד (או ימני או שמאלי - לא בהכרח כולם לאותו כיוון), פרט לעלה שבקצה השרוך.</t>
  </si>
  <si>
    <t xml:space="preserve">נאמר שעץ הוא "נחמד" אם בכל קודקוד בו מתקיימת באופן מקומי תכונת החיפוש. כלומר: אם יש ל-v בן שמאלי אז v.left.key $\le$ v.key ואם יש ל-v בן ימני אז v.key $\le$ v.right.key. ייתכנו מפתחות שווים בעץ. הוכיחו שלא ניתן באופן כללי למיין עץ "נחמד" שהוא בינארי מושלם בסיבוכיות טובה יותר $O(n \log n)$ תזכורת: עץ בינארי מושלם הוא עץ שבו כל $2^h$ העלים באותו עומק h. רמז: בעץ "נחמד" כללי, האם ניתן להסיק יחס סדר כלשהו (קטן/גדול) בין 2 עלים ימניים כלשהם? נצלו עובדה זאת. </t>
  </si>
  <si>
    <t>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(לא ניתן לנוע "אחורה" עם הראש לכיוון הצוואר של הנחש.) המשחק נמשך כל-עוד הנחש אינו מתנגש בעצמו, או באחד הקירות. התנגשות בקיר פירושה תנועה לנקודה שבה $|x|=M$ או $|y|=M$. התנגשות עם עצמו פירושה שראש הנחש נע לנקודה שבה נמצא חלק מגוף הנחש לאחר התזוזה (כלומר: תנועת הראש אל מקום הזנב הנוכחי אינה התנגשות). הציעו מבנה נתונים מתאים להחזקת מיקום הנחש, ותארו כיצד לעדכן אותו לאחר כל צעד ולבדוק התנגשויות. זמן העדכון ובדיקת ההתנגשויות צריך להיות $O(1)$ בתוחלת</t>
  </si>
  <si>
    <t xml:space="preserve">במשחק הנחש (snake) יש לוח של קואורדינטות שלמות במישור $(x,y)$ עבור $|x|,|y|&lt;M$ עבור M גדול כלשהו. על המישור מסתובב נחש, שייצוגו אוסף של n נקודות רצופות במישור הזה, סמוכות זו לזו, מהראש לזנב (לאו דווקא בקו ישר). בכל יחידת זמן, הראש מתקדם לנקודה פנויה סמוכה ("קדימה"/"ימינה"/"שמאלה"), וכל נקודה של הנחש מתקדמת למקום של זו שלפניה. המשחק נמשך כל-עוד הנחש אינו מתנגש בעצמו, או באחד הקירות. הציעו פתרון אחר שבו זמן העדכון ובדיקת ההתנגשויות יהיה $O(\log n)$ במקרה הגרוע. </t>
  </si>
  <si>
    <t>בכיתה למדנו שבערימות פיבונאצ'י כאשר צומת מאבד שני בנים אז אנו חותכים את הצומת (תהליך cascading cuts). נשנה את המימוש כך שנחתוך צומת רק אם איבד שלושה בנים (שימו לב שהצומת שעליו עושים decrease-key תמיד נתלש בלי קשר לכמות הבנים שאיבד). בתמונה המצורפת מופיעה למה מרכזית מהניתוח של ערימות פיבונאצ'י (Lemma 2: Let x be a node of rank k and let $y_1, y_2, ..., y_k$ be the current children of x, in the order in which they were linked to x. Then, the rank of $y_i$ is at least $i-2$). נסחו מחדש את הלמה ביחס למימוש החדש של הערימה, והוכיחו אותה.</t>
  </si>
  <si>
    <t xml:space="preserve">בכיתה למדנו שבערימות פיבונאצ'י כאשר צומת מאבד שני בנים אז אנו חותכים את הצומת (תהליך cascading cuts). נשנה את המימוש כך שנחתוך צומת רק אם איבד שלושה בנים. הסיקו כי הדרגה המקסימלית בערימה עם n איברים היא עדיין $O(\log n)$ רמז: ניתן להניח כי הפתרון של נוסחאות נסיגה מהצורה $a_n - a_{n-1} = a_{n-k}$ עבור $k&gt;1$ קבוע הינו $O(c^n)$. </t>
  </si>
  <si>
    <t>avg_score</t>
  </si>
  <si>
    <t>std_score</t>
  </si>
  <si>
    <t>max_score</t>
  </si>
  <si>
    <t>avg_score_norm</t>
  </si>
  <si>
    <t>std_score_norm</t>
  </si>
  <si>
    <t>id</t>
  </si>
  <si>
    <t>10.a</t>
  </si>
  <si>
    <t>10.b</t>
  </si>
  <si>
    <t>9.a</t>
  </si>
  <si>
    <t>9.b</t>
  </si>
  <si>
    <t>9.c</t>
  </si>
  <si>
    <t>9.d</t>
  </si>
  <si>
    <t>8.I</t>
  </si>
  <si>
    <t>8.II.a</t>
  </si>
  <si>
    <t>8.II.b</t>
  </si>
  <si>
    <t>8.II.c</t>
  </si>
  <si>
    <t>7.a</t>
  </si>
  <si>
    <t>7.b</t>
  </si>
  <si>
    <t>8.a</t>
  </si>
  <si>
    <t>8.b</t>
  </si>
  <si>
    <t>1-a</t>
  </si>
  <si>
    <t>1-b</t>
  </si>
  <si>
    <t>1-c</t>
  </si>
  <si>
    <t>1-d</t>
  </si>
  <si>
    <t>1-e</t>
  </si>
  <si>
    <t>2-a</t>
  </si>
  <si>
    <t>2-b</t>
  </si>
  <si>
    <t>2-c</t>
  </si>
  <si>
    <t>2-d</t>
  </si>
  <si>
    <t>3-a</t>
  </si>
  <si>
    <t>3-b</t>
  </si>
  <si>
    <t>3-c</t>
  </si>
  <si>
    <t>3-d</t>
  </si>
  <si>
    <t>4-a</t>
  </si>
  <si>
    <t>4-b</t>
  </si>
  <si>
    <t>4-c</t>
  </si>
  <si>
    <t>4-d</t>
  </si>
  <si>
    <t>4-e</t>
  </si>
  <si>
    <t>5-a</t>
  </si>
  <si>
    <t>5-c</t>
  </si>
  <si>
    <t>10-a</t>
  </si>
  <si>
    <t>10-b</t>
  </si>
  <si>
    <t>5-b</t>
  </si>
  <si>
    <t>13-a</t>
  </si>
  <si>
    <t>13-b</t>
  </si>
  <si>
    <t>14-a</t>
  </si>
  <si>
    <t>14-b</t>
  </si>
  <si>
    <t>14-c</t>
  </si>
  <si>
    <t>14-d</t>
  </si>
  <si>
    <t>14-e</t>
  </si>
  <si>
    <t>15-a</t>
  </si>
  <si>
    <t>15-b</t>
  </si>
  <si>
    <t>15-c</t>
  </si>
  <si>
    <t>15-d</t>
  </si>
  <si>
    <t>16-a</t>
  </si>
  <si>
    <t>16-b</t>
  </si>
  <si>
    <t>16-c</t>
  </si>
  <si>
    <t>6-a</t>
  </si>
  <si>
    <t>6-b</t>
  </si>
  <si>
    <t>7-a</t>
  </si>
  <si>
    <t>7-b</t>
  </si>
  <si>
    <t>8-a</t>
  </si>
  <si>
    <t>8-b</t>
  </si>
  <si>
    <t>8-c</t>
  </si>
  <si>
    <t>8-d</t>
  </si>
  <si>
    <t>8-e</t>
  </si>
  <si>
    <t>9-a</t>
  </si>
  <si>
    <t>9-b</t>
  </si>
  <si>
    <t>9-c</t>
  </si>
  <si>
    <t>2-e</t>
  </si>
  <si>
    <t>רוצים לבנות מבנה נתונים לתחזוקת מספרים טבעיים התומך בפעולות insert(x), delete(x), find(x), , עבור מספר טבעי x, ובפעולת  multiple_of_5() המחזירה שני ערכים שונים במבנה x, y המקימים y=5x. אזי קיים מבנה כנ"ל בו (אנו מעוניינים במבנה התומך בפעולות עם סיבוכיות הטובה ביותר) (4 נקודות):
1. פעולות insert(x), delete(x) נעשות בזמן O(log(n)^2) במקרה הגרוע, ופעולות find(x), multiple_of_5()  נעשות בזמן O(log(n)) במקרה הגרוע.
2. פעולות insert(x), delete(x) נעשות בזמן O(log(n)^2) במקרה הגרוע, ופעולות  find(x), multiple_of_5() נעשות בזמן O(log(n)) במקרה הגרוע.
3. פעולות insert(x), find(x), delete(x) נעשות בזמן O(log n) במקרה הגרוע, ופעולת multiple_of_5() נעשית בזמן O(n^2) במקרה הגרוע.
4. פעולות insert(x), delete(x) נעשות בזמן O(log(n)^2) במקרה הגרוע, פעולת  find(x) נעשית בזמן O(log(n)) ופעולת multiple_of_5() נעשית בזמן O(n) במקרה הגרוע.
5. פעולות insert(x), find(x), delete(x) נעשות בזמן O(log n) במקרה הגרוע, ופעולת multiple_of_5() נעשית בזמן O(1) במקרה הגרוע.
6. פעולות insert(x), find(x), delete(x) נעשות בזמן O(log n) במקרה הגרוע, ופעולת multiple_of_5() נעשית בזמן O(n) במקרה הגרוע.
7. כל הפעולות נעשות בזמן O(log n) במקרה הגרוע</t>
  </si>
  <si>
    <t>התשובה הנכונה היא ה'.
מבנה הנתונים יהיה עץ 2-3 (או עץ חיפוש מאוזן אחר) שמכיל את כל האיברים. רשימה דו כיוונית שמכילה את הזוגות שהמנה ביניהם היא 5. כמו כן יש הצבעות הדדיות בין האיברים בשני המבנים.
פעולות הוספה, מחיקה וחיפוש מבוצעות על העץ. במקרה של הוספה ומחיקה יש לעדכן גם את הרשימה (כלומר להוסיף או להוריד זוג מהרשימה, לפי הצורך).
פעולת Multiple_of_5() תבוצע על ידי החזרת ראש הרשימה המקושרת.</t>
  </si>
  <si>
    <t>זוג ערכים במערך נקראים עוקבים אם הם שונים ולאחר מיון הם נמצאים במקומות סמוכים במערך. בהינתן מערך של מספרים טבעיים בגודל n, הציעו אלגוריתם (בעל סיבוכיות worst case הטובה ביותר) הבודק האם יש זוג ערכים עוקבים שסכום המופעים של שניהם ביחד הוא לפחות  (כלומר מספר הפעמים שמופיע ערך מסוים ועוד מספר הפעמים שמופיע הערך העוקב לו יהיה לפחות ).</t>
  </si>
  <si>
    <t xml:space="preserve">ניתן לפתור ב-O(n)   Worst case בכמה דרכים בהתבססות על order statistics. למשל, פתרון שמתבסס על העקרונות הבאים )  בלא פרוט פרטים טכניים): 
מציאת חציון – O(n) (סמנו ב-M)
מציאת האיבר הקטן ביותר הגדול מהחציון (H) (אם יש) – O(n)
מציאת האיבר הגדול ביותר הקטן מהחציון (L) (אם יש(– O(n)
ספירת הופעות של M, L, H – O(n)
אם כמות ההופעות הכוללת של M ו-H או של M ו-L מקיימת את התנאי התשובה חיובית. אחרת שלילית. </t>
  </si>
  <si>
    <t>נתון מערך A המכיל n מספרים שלמים.  בהינתן מספרx  המופיע ב A, נגדיר את הריבוי שלx  במערך A בתור מספר המופעים של x ב-A. רוצים לייצר מערך ממוין B בגודל n, שיכיל את הריבוי של כל אחד מהמספרים המופיעים ב A. 
הציעו אלגוריתם שפותר את הבעיה בתוחלת זמן הטובה ביותר.</t>
  </si>
  <si>
    <t>תאור האלגוריתם:
נכניס את איברי הקבוצה לטבלת Hash בגודל (n).  ערכים חוזרים יוחזקו על ידי מונה (כלומר בפעולת ההכנסה, נעבור על כל הרשימה בתא אליו הגענו, ורק אם הערך לא נמצא נוסיף איבר חדש לרשימה, עם מונה מאותחל לאחד). בסוף הכנסת כל האיברים, נעבור על הטבלא ונחלץ את כל הריבויים. כל הערכים הנ"ל הם שלמים בתחום 1 עד n לכן ניתן למינם בעזרת CountSort. הוכחת זמן ריצה :
הכנסה לטבלה – סה"כ צפוי  (ממוצע) O(n)
חילוץ ריבויים מהטבלה O(n) 
CountSort O(n)
סה"כ צפוי O(n)</t>
  </si>
  <si>
    <t>בהינתן שני מערכים A ו B, כל אחד בגודל n, מעוניינים לייצר מערך שלישי C בגודל n,  בעל התכונה הבאה: הערך הרשום ב C[i] שווה מספר איברי A הקטנים מ B[i].
לשאלה זו שני סעיפים! תארו אלגוריתם בעל סיבוכיות ה W.C. הטובה ביותר לפתרון הבעיה.</t>
  </si>
  <si>
    <t xml:space="preserve">תיאור האלגוריתם:
נמיין את A בעזרת HeapSort.
עבור כל איבר ב-B נמצא כמה איברים קטנים ממנו בעזרת חיפוש בינארי ב O(lg n). 
חשוב מאוד: אם ב-A  יש איברים המופיעים יותר מפעם אחת, חיפוש בינארי רגיל לא יעבוד. לכן בכל דגימה של ערך, אם הערך הנדגם שווה לערך שמחפשים האלגוריתם לא יעצור אלא יבצע קריאה רקורסיבית על החצי השמאלי (שמכיל את האיברים הקטנים יותר.  הוכחת זמן ריצה:
מיון: (n lg n)
n חיפושים בינארים  (n lg n)
סה"כ (n lg n)
</t>
  </si>
  <si>
    <t>בהינתן שני מערכים A ו B, כל אחד בגודל n, מעוניינים לייצר מערך שלישי C בגודל n,  בעל התכונה הבאה: הערך הרשום ב C[i] שווה מספר איברי A הקטנים מ B[i].
לשאלה זו שני סעיפים! תנו חסם תחתון טוב ככל האפשר לאלגוריתם הפותר את הבעיה במודל ההשוואות:</t>
  </si>
  <si>
    <t xml:space="preserve">הוכחת נכונות :
נראה שבעזרת אלגוריתם לפתרון הבעיה הנ"ל שפועל במודל ההשוואות בזמן f(n) ניתן למיין מערך המכיל את הערכים 1 עד n בזמן O(f(n)+n) ולכן בהכרח f(n)=(n lg n).
בהינתן מערך A המכיל את n המספרים הראשונים, נעביר לאלגוריתם שני עותקים של A (בתור A ו-B).
האלגוריתם פועל ב-f(n) ומחזיר מערך C  המכיל למעשה את הסדר הסטטיסטי של כל אחד מאברי A ולכן בזמן נוסף O(n) ניתן למיין את A.
</t>
  </si>
  <si>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D סכום העומקים של כל הצמתים (כולל עלים) אזי
א. D = θ(N)
ב. D = θ(Nlog(N)) 
ג. D = θ(N^2)
ד. D = θ(N^2log(N))
ה. אף אחת מהתשובות הנ"ל אינה נכונה.</t>
  </si>
  <si>
    <t>ב. 
עומק כל הצמתים הוא O(lg n). לכן הסכום הוא O(n lg n).
מצד שני, עומק כל העלים הוא Ω(lg n) ויש Ω(n) עלים לכן הסכום הוא גם Ω(n lg n)</t>
  </si>
  <si>
    <t>עץ טרינארי הוא עץ שבו לכל צומת לכל היותר שלושה ילדים. 
נתון עץ טרינארי מלא ומאוזן, המכיל N צמתים.
העומק של צומת הינו מספר הקשתות בין השורש ובין הצומת (עומק השורש הינו 0). 
הגובה של צומת  הינו מספר הקשתות בין הצומת ובין העלה הקרוב ביותר (גובה עלה הינו 0). יהי H סכום הגבהים של כל הצמתים (כולל עלים) אזי
א. H = θ(N)
ב. H = θ(Nlog(N)) 
ג. H = θ(N^2)
ד. H = θ(N^2log(N))
ה. אף אחת מהתשובות הנ"ל אינה נכונה.</t>
  </si>
  <si>
    <t>א.
החישוב בדומה לחישוב זמן הריצה של Build-Heap. מתקבלת סדרה הנדסית מהצורה Θ(n)xΣi(i/3i)</t>
  </si>
  <si>
    <t xml:space="preserve">
T(n) = T(n/4) + T(3n/4) + 1
א. T(n) = θ(n)
ב. T(n) = θ(n^(log(4)/log(3))) 
ג. T(n) = θ(nlog(n))
ד. T(n) = θ(n^0.75)
ה. T(n) = θ(log(n)^2) 
ו. T(n) = θ(log(n)^0.75)</t>
  </si>
  <si>
    <t>א.</t>
  </si>
  <si>
    <t>נתונה טבלת Hash פתוחה בגודל B, שבה התנגשויות בכל תא נפתרות על ידי רשימה מקושרת. הטבלה תומכת בפעולות Insert, Delete, Find.
עבור סדרת פעולות באורך N, המורכבת ממספר שווה של כל אחת מהפעולות הנ"ל (N/3 מכל סוג), ומתחילה עם מבנה ריק, זמן Amortized לפעולה בודדת במבנה הוא:
(תזכורת: זמן Amortized  לפעולה הוא זמן W.C. של סידרה של N פעולות, חלקי N).
א. θ(1)
ב. θ(B) 
ג. θ(N)
ד. θ(B^2)
ה. θ(N^2)
ו. אף אחת מהנ"ל.</t>
  </si>
  <si>
    <t>ג. כל פעולה במבנה לוקחת w.c. O(N) ולכן זהו חסם על זמן Amortized.. סידרה שמתחילה N/3 פעולות Insert שבה כל האיברים נופלים נופלים לאותו תא, וכל פעולות החיפוש כושלות אחרי סריקת הרשימה הארוכה, תיקח Θ(N2).</t>
  </si>
  <si>
    <t>אם log(f(n)) = θ(log(g(n))) אז בהכרח:
א. f(n) = θ(g(n + 1))
ב. f(n) = θ(g(n/2)) 
ג. f(n) = θ(g(n^0.5))
ד. א + ב
ה. א + ב + ג
ו. אף אחת מהנ"ל</t>
  </si>
  <si>
    <t>ו. 
דוגמה נגדית:
f(n) = n!  ,   g(n) = nn</t>
  </si>
  <si>
    <t>נתון עץ חיפוש בינארי התומך בפעולות סדר סטטיסטי (Order Statistic). גובה העץ בקשתות הוא h ויש בו n איברים. מבצעים על העץ סריקת LDR (In-order) , אלא שבמקום להדפיס את המפתחות, מדפיסים את ערך השדה Size.
הערך המקסימלי יודפס בהכרח במקום:
א. הראשון
ב. האחרון
ג. אחד מ-h המקומות הראשונים.
ד. אחד מ-h המקומות האחרונים.
ה. n/2
ו. אף אחד מהנ"ל.</t>
  </si>
  <si>
    <t>ו.
הערך Size המקסימלי שייך לשורש. השורש יכול להיות כל סדר סטטיסטי, ולכן יכול להופיע בכל מקום בהדפסת Inorder</t>
  </si>
  <si>
    <t>נתון מערך ממוין שבו כל איבר מופיע n^0.5 פעמים. ניתן לבצע חיפוש איבר במערך זה בזמן W.C.  
א. θ(log(n))
ב. θ(log(n)^0.5) 
ג. θ(n^0.5)
ד. θ(n^0.5/log(n))
ה.  θ(loglog(n)) 
ו. θ(log(n)^2)</t>
  </si>
  <si>
    <t xml:space="preserve">א. אם נבצע חיפוש בינארי רגיל (ונעצור אותו כשהדילוגים קטנים מ- EMBED Equation.DSMT4   זמן הריצה יהיה (W.C.)  EMBED Equation.DSMT4  </t>
  </si>
  <si>
    <t>נשנה את אלגוריתם QuickSort באופן הבא: בחירת איבר הציר (Pivot) תבוצע על ידי בחירת הסדר הסטטיסטי ה-n/4 , בעזרת פונקצית Select.    זמן ריצת האלגוריתם החדש יהיה:
א. W.C.- θ(nlog(n)), Expectet -θ(n)
ב. W.C.- θ(n^2), Expectet -θ(n^2) 
ג. W.C.- θ(n^2), Expectet -θ(nlog(n))
ד. W.C.- θ(nlog(n)), Expectet -θ(nlog(n))
ה. W.C.- θ(n^0.25log(n)), Expectet -θ(n^0.25log(n)) 
ו. W.C.- θ(n^2log(n)), Expectet -θ(n^2log(n))</t>
  </si>
  <si>
    <t>ד. 
זמן הריצה יהיה זהה למקרה הגרוע ולמקרה הממוצע – למעשה לא יושפע מהקלט או מהגרלות.
נוסחת הנסיגה: T(n) = T(3n/4) + T(n/4) + Θ(n) (עד כדי עיגול לשלמים).</t>
  </si>
  <si>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לשביעיות במקום לחמישיות. נוסחת הנסיגה המעודכנת תהיה:
א. T(n) &lt;= T(n/7) + T(7n/10 + c) + O(n) (c' קבוע כלשהו).
ב. T(n) &lt;= T(n/7) + T(n/2 + c) + O(n) (c' קבוע כלשהו).
ג. T(n) &lt;= T(n/7) + T(n/10 + c) + O(n) (c' קבוע כלשהו).
ד. T(n) &lt;= T(n/7) + T(2n/7 + c) + O(n) (c' קבוע כלשהו).
ה. T(n) &lt;= T(n/7) + T(5n/7 + c) + O(n) (c' קבוע כלשהו).
ו. T(n) &lt;= T(n/5) + T(7n/10 + c) + O(n) (c' קבוע כלשהו).</t>
  </si>
  <si>
    <t>ה. מציאת חציון החציונים היא הפעלה רקורסיבית על מערך בגודל בערך n/7. יש בערך 4n/14 איברים בהכרח קטנים ממנו וכנ"ל גדולים (חצי מארבע שורותבגודל n/7 כל אחת) לכן הרקורסיה השניה פועלת על מערך בגודל בערך 5n/7</t>
  </si>
  <si>
    <t>אותם נתונים כמו בשאלה הקודמת. מה זמן הריצה W.C. של התכנית החדשה?
א. θ(log(n))
ב. θ(n) 
ג. θ(nlog(n))
ד. θ(n^2)
ה. אף אחד מהנ"ל</t>
  </si>
  <si>
    <t>ב. הוכחה באינדוקציה.</t>
  </si>
  <si>
    <t>רוצים להוסיף לעץ 2-3 רגיל (התומך בפעולות insert, delete, find) את הפעולה הבאה:
Change-Key(p,new-val). הפעולה מקבלת מצביע p לאיבר (עלה)  בעץ, וצריכה לעדכן את הערך השמור באיבר עליו מצביע p לערך new-val. שימו לב כי הפעולה מקבלת מצביע  לאיבר עליו יש לבצע את הפעולה. בסיום הפעולה, העץ צריך להיות עץ 2-3 חוקי.
הוכיחו חסמים עליונים ותחתונים הדוקים (כלומר זהים) לביצוע הפעולה הנ"ל במודל ההשוואות.</t>
  </si>
  <si>
    <t>חסם עליון: O(log n)
הוכחה: ניתן למחוק את p.key ב O(log n) ולהכניס את new-val ב O(log n). סה"כ O(log n). חסם תחתון: Ω(log n)
הוכחה: נניח כי ניתן לבצע את הפעולה ב o(log n). בהינתן n מספרים לא ממוינים נמיינם באופן הבא: 
א.  נבנה עץ 2-3 חוקי שכל עליו מכילים את הערך 0. כפי שראינו ניתן לעשות זאת ב O(n)      . 
ב.  נקצה מערך נוסף B אשר יחזיק n מצביעים לעליו של העץ. גם את מערך זה ניתן      
      לבנות ב O(n) בזמן בניית העץ. 
ג.  נעבור על מערך הקלט ועבור האיבר ונבצע ChangeKey(B[i],A[i]). כך נקבל 
     עץ 2-3 חוקי המכיל את איברי המערך וזאת בזמן o(nlong).
ד. נוציא מהעץ רשימה מקושרת המכילה את עליו ב O(n).
סה"כ קיבלנו מיון ב o(nlogn) בסתירה לחסם התחתון של מודל ההשוואות.
הערה: סטודנטים רבים טעו בכך שלא השתמשו במערך הפוינטרים B (או בפתרון שקול אחר). במצב זה לא ניתן לתת לפונקציה ChangeKey מצביע לאיברים אותם יש לשנות. טעות נפוצה נוספת היתה ביצוע סריקה של רשימת העלים וביצוע ChangeKey לפי סדר. גם זה פתרון בעייתי, כי יש יתכן מצב בו נבצע ChangeKey יותר מפעם אחת על אותו עלה וכך נאבד את אחד מהערכים המקוריים.</t>
  </si>
  <si>
    <t>נתונים n  מפתחות שונים זה מזה וממוינים.  תארו מבנה נתונים יעיל  המתחזק מפתחות אלו (הניחו שהמבנה כבר בנוי, כלומר לא חשובה עלות בנייתו) והתומך בפעולת find_delete(key)המקבלת מפתח והמחזירה  false  אם המפתח אינו במבנה. אם הוא במבנה, הפעולה מחזירה true  ומוציאה אותו מהמבנה.    עלות נדרשת: O(log n) לפעולת find_delete(key).</t>
  </si>
  <si>
    <t>תאור המבנה:
עץ חיפוש מאוזן.
סבוכיות הפעולה – הסבירו: 
מציאת איבר בעץ, וכן מחיקתו עולות O(logn).</t>
  </si>
  <si>
    <t>נגדיר פרמוטציה מסדר (n,m) באופן הבא (כפי שהוגדר בתרגול):
מסדרים את המספרים 1,2,3,…,n במעגל, ומצביעים על המספר 1.
מבצעים m צעדים לאורך המספרים שנותרו על המעגל.
מדפיסים את המספר אליו הגענו, ומוחקים אותו מהמעגל. אם נותרו מספרים חוזרים לב', ולא עוצרים. מספר שנמחק, אינו נספר במניין הצעדים בשלב ב'. 
      לדוגמא: הפרמוטציה מסדר (7,3) היא 4,7,3,1,6,2,5 (ודאו כי אתם מבינים מדוע!)
תארו אלגוריתם יעיל המקבל מספר n, ומחזיר את הפרמוטציה מסדר (n,n/2).
(שימו לב, שהרעיון לא בהכרח דומה לזה שנלמד בכיתה עבור הפרמוטציה (n,17)).</t>
  </si>
  <si>
    <t>זמן ריצת האלגוריתם:  O(nlogn)
תיאור האלגוריתם והוכחת נכונות:
נחזיק את המספרים 1 עד n בעץ  חיפוש בינארי עם סדר סטטיסטי. ז"א כל קודקוד בעץ ישמור בנוסף את מספר הקודקודים שמתחתיו (+1) בשדה size, כמו שראינו בכיתה.
נתחיל כשפוינטר מצביע על האיבר 1.
כשאנחנו באיבר שאינדקסו I, נקפוץ לאיבר שאינדקס שלו הוא (I+n/2) mod k בעזרת OS_Select כאשר k הוא מספר האיברים שנותרו בעץ (כלומר size של השורש).
נדפיס את האיבר שהגענו אליו, ונמחוק אותו.
נבצע את 1 ו- 2 עד שלא יותרו איברים בעץ.
לאלג' יש n איטרציות. כל איטרציה עולה O(logn), וסה"כ O(nlogn).
טעויות נפוצות:
אלג' שזמנם O(n^2) – ניתנו 2 נק'
אלג' שלא בצעו את הנדרש לא הדפיסו את הפרמוטציה – לא קיבלו הנק'
טעויות בניתוח זמן ריצה – הורדו נק' לפי הטעות.
ציון Θ(.) ללא הוכחת זמן חסם תחתון – הורדו 2 נקודות.</t>
  </si>
  <si>
    <t>תאר אלגוריתם הפותר את הבעיה הבאה: בהינתן קבוצה S של n מספרים, האלגוריתם בונה בזמן  ,W.C. O(n) מבנה נתונים התומך בפעולה find בלבד, באופן ש: זמן ה W.C של find הוא O(n), אולם על לפחות n/log n מהאיברים, זמן הריצה של find הוא O(log n). שימו לב כי המבנה אינו דינאמי, כלומר אינו צריך לתמוך ב insert ו delete.</t>
  </si>
  <si>
    <t>תיאור האלגוריתם והוכחת נכונות:
לוקחים n/log n  איברים  ומכניסים לעץ חפוש מאוזן (למשל 2-3)  או למערך ממוין. עלות כוללת  היא O(n). שאר האיברים מוכנסים לרשימה.
בעת בצוע find  מחפשים קודם בעץ ואחר כך ברשימה. עלות חפוש על כל אבר בעץ היא O(log n). שאר האיברים – O(n).</t>
  </si>
  <si>
    <t>פתרו את נוסחת הנסיגה הבאה:
T(n) = T(c*n) + T((1-c)*n) + n כאשר נתון ש-c קבוע, 0 &lt; c &lt; 1 
א. T(n) = θ(n)
*ב. T(n) = θ(nlog(n)) 
ג. T(n) = θ(n^1.5)
ד. T(n) = θ(n^2)</t>
  </si>
  <si>
    <t>הוכחה באינדוקציה או על ידי עץ רקורסיה.</t>
  </si>
  <si>
    <t>מהו היחס האסימפטוטי בין הפונקציות הבאות:
אם יש כמה תשובות נכונות, בחרו את ההדוקה ביותר.
f(n) = n/log(n), g(n) = n^2/(log(n))^2004
א. f(n) = O(g(n))
ב. f(n) = Ω(g(n)) 
ג. f(n) = θ(g(n))
*ד. f(n) = o(g(n)) 
ה. f(n) = w(g(n))</t>
  </si>
  <si>
    <t>לכל &gt;0 מתקיים log n = o(n).</t>
  </si>
  <si>
    <t>משנים את אלגוריתם MergeSort כך שאם המערך ממוין האלגוריתם מחזיר את המערך ולא מבצע שתי קריאות רקורסיביות נוספות. נניח מריצים את האלגוריתם החדש על מערך בו כל איבר מופיע בדיוק n/logn פעמים (לכן הוא מכיל logn איברים שונים). זמן הריצה של האלגוריתם ב WC הינו:
א. Θ(n)
ב. Θ(n log log n)
*ג. Θ(n log n)
ד. Θ(n2)</t>
  </si>
  <si>
    <t>עבור הקלט הבא, זמן הריצה יהיה כמו באלגוריתם MergeSort  המקורי:
מערך המורכב מ- n/lognחלקים, בכל חלק logn ערכים בסדר יורד.</t>
  </si>
  <si>
    <t>נגדיר מודל חישובי חדש בו נרצה למיין מערכים של מספרים בשם Only-Adjacent-Swaps. במודל אסור להחליף בין שני איברים כלשהם במערך,אלא רק בין זוג איברים סמוכים. אלגוריתם המיון המהיר ביותר במודל החדש רץ בזמן:
א. Θ(n log n) 
ב. Θ(n log2 n)
*ג. Θ(n2)
ד. Θ(n2 log n)
ה. Θ(n3)</t>
  </si>
  <si>
    <t>מערך הממוין בסדר הפוך ידרוש Θ(n2) פעולות החלפה</t>
  </si>
  <si>
    <t>נתון עץ Order-Statistics כפי שהוגדר בכיתה, עם השדה הנוסף size (כלומר size של צומת x הוא מספר הצמתים, כולל x, בתת העץ שזה ש-x הוא השורש שלו). בכמה זמן ניתן להדפיס את k הצמתים בעץ להם שדה size גדול ביותר. מותר להניח ש k &lt; n^0.5.
א. Θ(n).
ב. Θ(n log n).
ג. Θ(k log n).
*ד. Θ(k log k).
ה. Θ(k).</t>
  </si>
  <si>
    <t>בדומה להדפסת k האיברים הגדולים ביותר בערימת מקסימום. נשתמש בערימת עזר, שתכיל את המועמדים להדפסה, ובכל שלב נדפיס את המקסימלי של ערימת עזר, נמחק אותו מערימת העזר, ואת שני בניו מהעץ נכניס במקומו לערימת העזר.</t>
  </si>
  <si>
    <t>רוצים מבנה נתונים שתומך בפעולות Insert, Delete ו-Find.
מוצעים שני מבנים:
הראשון תומך בכל הפעולות בזמן W.C. O(n) ובזמן Amortized לפעולה O(1).
השני תומך בכל הפעולות בזמן W.C. O(log n) ובזמן Amortized לפעולה O(log N).
נזכיר ש-n מתאר את מספר האיברים במבנה, ו-N מתאר את מספר הפעולות שבוצעו על המבנה.
המבנה דרוש לאלגוריתם שמבצע N פעולות על המבנה. המבנה מאותחל למצב ריק. בתחילת ריצת האלגוריתם מבוצעות עליו N/10פעולות insert.
איזה משני המבנים עדיף, על מנת  להשיג זמן W.C. הנמוך ביותר לאלגוריתם?
*א. הראשון.
ב. השני.
ג. התשובה עבור n = N/2שונה מהתשובה עבור n = N/4.
ד. אף אחת מהתשובות הנ"ל.</t>
  </si>
  <si>
    <t>הראשון דורש זמן כולל O(N). השני דורש זמן כולל O(N log N) .</t>
  </si>
  <si>
    <t>נתעניין בבעיה הבאה:
קלט: מערך בגודל n.
שאלה: האם יש במערך 2 ערכים שמספר המופעים של שניהם יחד הוא בדיוק 2004.
רוצים אלגוריתם שיפתור את הבעיה בתוחלת זמן הקצרה ביותר.
ניתן לעשות זאת בתוחלת זמן:
א. θ(log(n))
*ב. θ(n) 
ג. θ(nlog(n))
ד. θ(n^2)
ה. אף אחד מהנ"ל</t>
  </si>
  <si>
    <t>נכניס את כל האיברים לטבלת Hash בגודל n (פתרון התנגשויות על ידי רשימות מקושרות) בתוחלת זמן O(n) . ערכים כפולים נשמור באותו איבר ברשימה על ידי מונה.
המונים הם שלמים בין 1 ל-n לכן אפשר למיין אותם במערך על ידי מיון מניה (CountSort) בזמן O(n). עכשיו בעזרת שני אינדקסים אפשר לרוץ על המערך מההתחלה ומהסוף, ולבדוק האם יש שני איברים במערך שסכומם 2004.</t>
  </si>
  <si>
    <t>נוסחת הנסיגה של זמן הריצה של התכנית Select (מציאת סדר סטטיסטי כלשהו במערך לא ממוין) היא: T(n) &lt;= T(n/5) + T(7n/10 + c) + O(n)
 (c קבוע כלשהו).
נשנה את פעולת Select כך שבשלב הראשון החלוקה תהיה לשלישיות במקום לחמישיות. נוסחת הנסיגה המעודכנת תהיה:
א. T(n) &lt;= T(n/3) + T(n/3 + c) + O(n) (c' קבוע כלשהו).
*ב. T(n) &lt;= T(n/3) + T(2n/3 + c) + O(n) (c' קבוע כלשהו).
ג. T(n) &lt;= T(2n/3) + T(2n/3 + c) + O(n) (c' קבוע כלשהו).
ד. T(n) &lt;= T(n/3) + T(5n/6 + c) + O(n) (c' קבוע כלשהו).
ה. T(n) &lt;= T(n/3) + T(7n/6 + c) + O(n) (c' קבוע כלשהו).
ו. T(n) &lt;= T(n/3) + T(7n/10 + c) + O(n) (c' קבוע כלשהו).</t>
  </si>
  <si>
    <t>מציאת חציון החציונים של השלשות:  EMBED Equation.DSMT4  . מובטח שלפחות (כמעט) n/3  מהאיברים מסולקים לקראת השלב הבא.</t>
  </si>
  <si>
    <t>רוצים אלגוריתם יעיל ככל הניתן לבעיה הבאה:
קלט: n קטעים על הישר (כלומר n זוגות של נקודות התחלה וסיום).
שאלה: האם יש שלושה  קטעים בקלט שיש להם לפחות נקודת חיתוך אחת משותפת?</t>
  </si>
  <si>
    <t xml:space="preserve">תאור האלגוריתם וניתוח זמן ריצה:
בונים מערך שמכיל את כל נקודות הקצה של כל הקטעים. מסמנים לכל נקודה אם היא הייתה נקודת התחלה או נקודת סיום. ראשית, ממיינים את המערך כך שהנקודות יהיו מסודרות משמאל לימין. אם יש "תיקו", כלומר נקודות שוות, אז שמים במערך את נקודות ההתחלה לפני נקודות הסיום. שנית, סורקים את המערך, ובכל שלב שומרים את מס' נקודות ההתחלה שעברנו פחות מס' נקודות הסיום שעברנו, פשוט ע"י הפחתה של 1 ממונה כשעוברים נק' סיום, והוספה של 1 בנק' התחלה. קל לראות שהמונה שווה בדיוק למס' הקטעים שהנק' הנוכחית נמצאת בהם, קל גם לראות שאם יש 3 קטעים שיש להם נקודה משותפת, אזי יש נקודה כזאת שהיא בפרט נק' קצה של קטע. לכן צריך להחזיר 'כן' אם ורק אם המונה מגיע באיזשהו שלב לערך שהוא לפחות 3. המיון לוקח זמן O(nlogn) והמעבר לוקח זמן לינארי, אז סה"כ זמן O(nlogn).
טעויות נפוצות: 1. היו פתרונות שמיינו את הקטעים לפי נק' התחלה, ואז בדקו אם ישנם שלושה קטעים סמוכים במערך שנחתכו באותה נקודה. זהו פתרון שגוי מכיוון שיכול להיות שיש שלשת קטעים שנחתכים באותה נק' בעוד שאין שלשה כזו של קטעים עם נק' התחלה שמוכות. למשל כמו בדוגמה הבאה:
2. היו גם פתרונות שבדקו רק אם יש שלשת קטעיםעוקבים שבה הראשון נחתך עם השני והשני נחתך עם השלישי, אך לא בדקו ששלושתם נחתכים בנקודה אחת. </t>
  </si>
  <si>
    <t>רוצים אלגוריתם יעיל ככל הניתן לבעיה הבאה:
קלט: n קטעים על הישר (כלומר n זוגות של נקודות התחלה וסיום).
שאלה: האם יש n/2 קטעים שיש להם לפחות נקודה אחת משותפת?</t>
  </si>
  <si>
    <t xml:space="preserve">תאור האלגוריתם וניתוח זמן ריצה:
אותו פתרון מסעיף א' עובד גם כאן, רק שצריך לבדוק עבור הערך  EMBED Equation.DSMT4   במקום הערך 3. </t>
  </si>
  <si>
    <t>האם ניתן למיין n מספרים a1,…,an מהתחום [0,2] בזמן W.C. O(n) אם 
לכל i≠j מתקיים |ai-aj|&gt;1/n2 ?</t>
  </si>
  <si>
    <t>תשובה: כן
הוכחה:
לכל מספר ai "נצמיד" מספר ni כך שיתקיים ni/2n2&lt;= ai&lt;= (ni+1)/2n2. מהמנתון נקבל כי כל המספרים ni, הינם שונים, וברור כי מיון המספרים ni נותן מיון של המספרים ai. את המספרים ni ניתן למיין ב O(n) כפי שראינו בתרגול.</t>
  </si>
  <si>
    <t>תנו חסם תחתון במודל ההשוואות לבעיה האם ניתן למיין n מספרים a1,…,an מהתחום [0,2] בזמן W.C. O(n) אם 
לכל i≠j מתקיים |ai-aj|&gt;1/n2</t>
  </si>
  <si>
    <t>החסם:     nlogn
הוכחה:
במיון בהשוואות לא משנה מה הם ערכי האיברים, כי בהוכחת החסם התחתון משתמשים רק בעובדה שמותר רק להשוות זוגות איברים ועלות השוואה של שני מספרים היא פעולה אחת.   בשאלה הנידונה אפשר לראות שמספר האברים השונים זה מזה הינו N ולכן מספר הסדרים האפשריים, כמו בהוכחה המקורית הינו N!.  לכן ההוכחה המקורית תופסת גם כאן.</t>
  </si>
  <si>
    <t>נתון מערך A ובו n  נתונים. בשאלה זו המשמעות של החלפה היא הפעולה Swap(i,j), כלומר החלפת איבר במקום כלשהו i במערך עם איבר המופיע במקום אחר j. נניח רוצים לתכנן אלגוריתם במודל ההשוואות שיבצע מספר קטן ככל האפשר של החלפות במערך (מספר ההשוואות אינו מעניין במקרה זה). מספר ההחלפות אותן מבצע האלגוריתם הטוב ביותר במקרה הגרוע ביותר הוא ?
א. θ(n)
ב. θ(nlog(n)) 
ג. θ(n^2)
ד. θ(n^0.5)
ה. θ(log(n)).</t>
  </si>
  <si>
    <t>א. Selection sort</t>
  </si>
  <si>
    <t>תהא T(n) פונקציה המקיימת: T(n) = T(log(n)) + 1. נגדיר 
A(n) = log(T(n)) ו B(n) = T(log(n)). מה מהבאים נכון?
א. A = θ(B).
ב. A = o(B).
ג. A = w(B).
ד. התשובה תלויה ב-n.
ה. אף אחד מהנ"ל.</t>
  </si>
  <si>
    <t>ב. כי B(n)=T(n)-1 A(n)=log(T(n))</t>
  </si>
  <si>
    <t>השאלה הבאה מתייחסת לאלגוריתם המיון הבא המקבל מערך בגודל n (עם איברים a1,...,a2):
הגרל שני אינדקסים i,j i!=j בהסתברות אחידה מהמספרים 1,...,n. נניח בלי הגבלת הכלליות כי ai&lt;aj.
חלק את המערך לשלושה חלקים כך שבחלקו השמאלי יהיו האיברים הקטנים מ ai, בחלקו הימני האיברים הגדולים-שווים מaj  ובחלקו האמצעי האיברים שקטנים מ aj וגדולים שווים מ ai.
הפעל את האלגוריתם רקורסיבית על כל אחד משלושת החלקים.
שימו לב: את השלב השני ניתן לבצע בO(n)  בדומה לפעולת ה Partition של QuickSort.
מהי תוחלת זמן הריצה של האלגוריתם?
א. θ(n)
ב. θ(nlog(n)) 
ג. θ(n^2)
ד. θ(n^2log(n))
ה. θ(n^(log(3)/log(2))).</t>
  </si>
  <si>
    <t>ב. זהו quicksort</t>
  </si>
  <si>
    <t>מהו הגובה של עץ ההחלטות של אלגוריתם המיון HeapSort על מערך בגודל n?
א. θ(n)
ב. θ(nlog(n)) 
ג. θ(n^2)
ד. θ(n!)
ה. θ((n!)*log(n))
ו. אלגוריתם המיון HeapSort לא מתאים למודל ההשוואות ולכן השאלה חסרת משמעות.</t>
  </si>
  <si>
    <t>ב. כי זוהי סבוכיות הworst case  של מספר ההשוואות באלגוריתם זה.</t>
  </si>
  <si>
    <t>בערימת מקסימום, החציון נמצא  בהכרח:
א. בשורש.
ב. בעומק לכל היותר log(n)/2 - 1 .
ג. בעומק לכל היותר log(n)/2 + 1
ד. בשתי השכבות הנמוכות ביותר.
ה. אף אחד מהנ"ל.</t>
  </si>
  <si>
    <t xml:space="preserve">ה. החציון יכול להיות בן ישיר של השורש (למשל אם כל תת עץ ימין גדולים מכל תת עץ שמאל) ויכול גם להיות באחד העלים (אם חצי הערכים הקטנים ביותר נמצאים בעלים).
</t>
  </si>
  <si>
    <t>יהא T עץ AVL בעל n  צמתים. גבהו של צמת מוגדר כאורך המסלול (בקשתות) הארוך ביותר ממנו לעלה. לדוגמה – גבהו של עלה הינו 0. יהא m  הצומת שמכיל את ערך המינימום בעץ. אזי גבהו של m  ב-T הינו: 
א. בהכרח 0.
ב. קטן מ או שווה ל 1. 
ג. בדיוק 1.
ד. קטו מ או שווה ל 2.
ה. יכול להיות θ(log(n)).
ו. יכול להיות θ(n).</t>
  </si>
  <si>
    <t>ב. למינימום אין בן שמאלי. לכן הוא עלה או צומת עם בן ימני שחייב, לפי הגדרת AVL , להיות עלה.</t>
  </si>
  <si>
    <t>נתון מערך A ובו n  נתונים שונים זה מזה (לא ממוינים). נתונה ערימת מינימום H ובה אותם נתונים. מעוניינים לקחת את n^0.5 האיברים הקטנים ביותר ולמיינם בזמן Worst case  הנמוך ביותר. יהא a(n)  עלות ביצוע הפעולה (על ידי האלגוריתם הטוב ביותר שהנכם מכירים) על A ותהא h(n)  עלות היבצוע (על ידי האלגוריתם הטוב ביותר שהנכם מכירים)  על H. אזי:  
1. עלות הבצוע של שני האלגורתמים זהה. 
2. עלות הבצוע של שני האלגורתמים בסדר גודל  זהה אבל הקבוע של a(n) נמוך יותר.
3. עלות הבצוע של שני האלגורתמים בסדר גודל  זהה אבל הקבוע של h(n) נמוך יותר.
a(n)=o(h(n .4. )).
h(n)=o(a(n .5)).</t>
  </si>
  <si>
    <t xml:space="preserve">ה. על A מבצעים ORDER STAT ואחכ מיון. עלות:  EMBED Equation.3  על H מבצעים  EMBED Equation.3   DELETEMIN . עלות:  EMBED Equation.3  </t>
  </si>
  <si>
    <t>תארו מבנה נתונים המתחזק קבוצה של נקודות במישור, כאשר כל נקודה  piמיוצגת כזוג מספרים (xi,yi). מבנה הנתונים צריך לתמוך בפעולות insert(x,y), delete(x,y), find(x,y) בזמן גרוע ביותר O(log n), וכמו כן תומך בפעולה  CountPointsAtDistance(d1,d2), המבצעת את הפעולה הבאה: בהינתן שני מספרים d1,d2 מחזירה הפעולה את מספר הנקודות במבנה שמרחקן מהראשית גדול מ d1 וקטן מ d2 (זיכרו כי מרחק נקודה (x,y) מהראשית הוא (x^2 + y^2)^0.5).  
CountPointsAtDistance(d1,d2)  צריכה להתבצע בסיבוכיות הנמוכה ביותר האפשרית.</t>
  </si>
  <si>
    <t>עץ חיפוש מאוזן (2-3  או AVL למשל) שבו המפתח הינו המרחק d. מתחת לכל עלה מוחזק עץ 2-3 שבו המפתחות המתאימים  (x,y) בסדר לקסיקוגרפי. 
העץ הראשי בנוי כעץ ORDER STAT בו בכל צומת שומרים את מספר המפתחות שנמצאים בתת העץ. כיצד ממומשת הפעולה CountPointsAtDistance ומה הסיבוכיות שלה:
מוצאים את הנקודה הרחוקה ביותר מהראשית שמרחקה קטן מ-d2.
מחשבית את הסדר הסטטיסטי שלה: a. 
מוצאים את הנקודה הקרובה ביותר לראשית שמרחקה גדול מ-d2.
מחשבית את הסדר הסטטיסטי שלה: b. 
מחזירים את a-b+1.
כל אחת מהפעולות הנ"ל מבוצעת בזמן O(log n) W.C. לכן זהו זמן ריצת הפעולה.</t>
  </si>
  <si>
    <t>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עבור MergeSort, האם Compare(n)=O(log n)?הסבירו</t>
  </si>
  <si>
    <t xml:space="preserve"> EMBED Equation.3  . בפאזה האחרונה אם מערך אחד מכיל אברים גדולים  מהשני, מוביל לעלות הזו.</t>
  </si>
  <si>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ניתן לכתוב אלגוריתם מיון חדש B שמקבל גם את x בקלט, כך שO(logn)  =? Compare(n,x,I)
הסבירו.  </t>
  </si>
  <si>
    <t>כן. מיון שאר האיברים ובצוע binary search   ל-.x</t>
  </si>
  <si>
    <t xml:space="preserve">יהא A אלגוריתם מיון כלשהו. עבור מספר כלשהו n, נגדיר את Compare(n,i) להיות מספר הפעמים הגדול ביותר (על פני כל הקלטים בגודל n) ש A משווה את האיבר שנמצא במקום i בקלט עם איבר כלשהו אחר. כמו כן נגדיר את Compare(n) להיות להיות המקסימום על פני כל i
של Compare(n,i). האם יש אלגוריתם מיון במודל השוואות המקיים Compare(n)=O(log log n)? </t>
  </si>
  <si>
    <t>לא. זה יאפשר מיון בO(nlglgn)   השוואות. זמן הריצה אמנם יכול להיות גדול יותר, אבל הראינו שמספר ההשוואות לאלגוריתם מיום במודל זה הוא (n lg n) .</t>
  </si>
  <si>
    <t>תארו אלגוריתם לפתרון הבעיה הבאה: 
קלט: קבוצה כלשהי {a1,...,an}=A של n מספרים. 
מטרה: האלגוריתם צריך לבנות בזמן ממוצע טוב ביותר מבנה נתונים DS בעל התכונה הבאה:             בהינתן אוסף S של m מספרים שאיבריו לקוחים מ A, ניתן להיעזר בDS  בכדי למיין את איברי S בזמן  O(max(m,n)) ב WC. שימו לב כי S יכולה להכיל איבר כלשהו של A מספר פעמים. על כן ייתכן כי מתקיים m&gt;n.</t>
  </si>
  <si>
    <t xml:space="preserve">תאור מבנה הנתונים DS:
Perfect hash של האיברים עבור ערכם. לכל איבר שומרים גם את הrank  שלו (הסדר הסטטיסטי). 
תאור בניית המבנה:
ממינים המערך –O(nlgn) – למציאת rank  של כל איבר. 
מכניסים את האיברים לperfecct hash O(n)בממוצע. 
כיצד ניתן למיין בעזרת מבנה הנתונים:
מוצאים את הסדר הסטטיסטי של כל איבר ב-S. ממינים את S לפי הסדרים הסטטיסטים בעזרת CountSort.
</t>
  </si>
  <si>
    <t>יהיו .	
נרצה להשוות את שתי הפונקציותf(n) = (n!)^2006,
g(n) = (n^2006)!.  מה מהבאים נכון?
א. f(n) = o(g(n))
ב. f(n) = w(g(n)) 
ג. f(n) = θ(g(n))
ד. ב + ג נכונים
ה. א + ג נכונים
ו. אף אחד מהנ"ל אינו נכון.</t>
  </si>
  <si>
    <t>א. 
f(n) היא מכפלה של 2006n גורמים שכולם קנים או שווים n.
g(n) היא מכפלה של n2006 גורמים, שכולם למעט n מהם גדולים מ-n.</t>
  </si>
  <si>
    <t>נתונה נוסחת הנסיגה הבאה: T(n) = T(n/3) + T(a*n) + n		
מבין הערכים הבאים עבור  α, מהו הגבוה ביותר שעבורו מתקיים ש-T(n) = O(n)?
א. a = 1/4
ב. a = 1/3 
ג. a = 1/2
ד. a = 2/3
ה. a = 3/4 
ו. a = 2005/2006</t>
  </si>
  <si>
    <t>ג. 
אם α הוא קבוע קטן מ-2/3 אז  EMBED Equation.DSMT4   (כמו שראינו בש"ב). 
אם α הוא קבוע 2/3 אז  EMBED Equation.DSMT4   (ניתוח בעזרת למשל עץ רקורסיה בדומה לחישוב זמן הריצה של MergeSort).</t>
  </si>
  <si>
    <t xml:space="preserve">נוסחת הנסיגה T(n) = T(n/2) + T(n/2) + θ(n)  
מתארת את זמן W.C. הריצה של האלגוריתמים הבאים :
הערה: עבור אלגוריתם מסוים לא מספיק שסיבוכיות תהיה זהה לפתרון נוסחת הנסיגה. צריך גם שנוסחת הנסיגה תתאים לפעולת האלגוריתם.  
א. QuickSort
ב. QuickSort כאשר איבר הציר (Pivot) נבחר להיות החציון על ידי Select.
ג. מיון על ידי הכנסות לעץ חיפוש AVL וסריקת העץ בסוף.
ד. MergeSort
ה. ב + ד
ו.  ב + ג + ד </t>
  </si>
  <si>
    <t>ה.
נוסחת הנסיגה מתארת את MergeSort וגם את QuickSort בתנאי שאיבר הציר נבחר להיות החציון בזמן לינארי (למשל על ידי Select). ב-QuickSort רגיל החלוקה עלולה להיות לא מאוזנת ולכן נוסחת הנסיגה הנ"ל לא מתאימה.  מיון על ידי עץ AVL אמנם לוקח  EMBED Equation.DSMT4  , שזהו הפתרון של T, אבל T לא מתאימה לתיאור זמן הריצה (למשל, כי זה לא אלגוריתם רקורסיבי).</t>
  </si>
  <si>
    <t>נתון עץ חיפוש 2-3  שבו לשורש יש בדיוק שני בנים: שמאלי ומרכזי.
נסמן ב-X את מספר הצמתים בתת העץ המרכזי וב-Y את מספר הצמתים בתת עץ שמאל. מה מהבאים בהכרח נכון?
(אם יש יותר מתשובה אחת נכונה, בחרו את ההדוקה ביותר).
א. X = Y
ב. X &lt;= 1.5*Y 
ג. X &lt;= 2*Y
ד. X &lt;= 6*Y
ה. X &lt;= 2006*Y
ו. אף אחד מהנ"ל.</t>
  </si>
  <si>
    <t>ו.
יתכן מצב שבו בתת עץ אחד לכל צומת יש בדיוק שני בנים ובתת העץ השני לכל צומת יש בדיוק 3 בנים. לכן אם גבה העץ הוא h אז בתת עץ אחד מספר הצמתים הוא  EMBED Equation.DSMT4  ובשני  EMBED Equation.DSMT4  . כלומר בראשון יש  EMBED Equation.DSMT4  צמתים ובשני יותר מ- EMBED Equation.DSMT4  צמתים.</t>
  </si>
  <si>
    <t>נתייחס לאלגוריתם המיון הבא: 
בדוק האם הקלט ממוין על ידי השוואת כל איבר לבא אחריו במערך. 
אם כן – סיים. אחרת – הפעל את אלגוריתם MergeSort. 
מהו העומק הממוצע של עלה בעץ ההחלטות של אלגוריתם המיון הנ"ל על מערך בגודל n?
א. θ(log(n))
ב. θ(n) 
ג. θ(nlog(n))
ד. θ(n^2)
ה. θ(n!)
ו. האלגוריתם הנ"ל לא מתאים למודל ההשוואות ולכן השאלה חסרת משמעות.</t>
  </si>
  <si>
    <t xml:space="preserve">ג.
עבור קלט ממוין מספר ההשוואות שמבצעים הוא n. כלומר העלה שמייצג מערך ממוין הוא בעומק n.
לכל קלט אחר מספר ההשוואות ש-MergeSort מבצע הוא  EMBED Equation.3  . כלומר כל עלה אחר הוא בעומק  EMBED Equation.3  . יש בעץ יש n!  סה"כ. לכן העומק הממוצע הוא:  EMBED Equation.3 </t>
  </si>
  <si>
    <t>נתון עץ חיפוש בינרי (לאו דוקא מאוזן) בעל n צמתים שבו לכל צומת זוג שדות נוספים: Pred, Suc שמצביעים לקודם ולעוקב של הצומת. רוצים לממש פעולת Delete על עץ זה בזמן W.C. הטוב ביותר האפשרי (כך שאחרי המחיקה כל השדות בעץ נכונים). פעולת המחיקה מקבלת מצביע לאיבר המיועד למחיקה. מותר להניח שקיימים כל השדות הרגילים, כמו Parent[x]. הזמן המתקבל הוא:
א. θ(1)
ב. θ(log(n)) ללא תלות בגובה העץ.
ג. θ(n) ללא תלות בגובה העץ.
ד. θ(h) כאשר h גובה העץ.
ה. θ(nlog(n))
ו. לא ניתן לבצע מחיקה בעץ כזה, כי אי אפשר לקבוע בוודאות את הערך החדש לשדות Pred ו-Suc.</t>
  </si>
  <si>
    <t xml:space="preserve"> א. 
נניח ש-x הוא האיבר הנמחק. נזכור את הקודם והעוקב של x כדי לעדכן את ההצבעה ההדדית שלהם אחרי מחיקת x. 
אם ל-x יש בן יחיד או הוא עלה – נמחק אותו בזמן  EMBED Equation.DSMT4  כמו במחיקה רגילה. אם ל-x יש שני בנים – נמצא את העוקב שלו בעזרת השדה Suc בזמן  EMBED Equation.DSMT4  , ונמשיך כמו במחיקה רגילה: החלפה ומחיקה במקום החדש. סה"כ זמן -  EMBED Equation.DSMT4  .</t>
  </si>
  <si>
    <t>לאיזה מהמבנים הבאים יש זמן חיפוש W.C. הגרוע ביותר ?
א. טבלת Hash שבה פתרון התנגשויות על ידי רשימות מקושרות.
ב. Perfect Hash
ג. ערימת מקסימום במימוש מערך.
ד. א+ב
ה. א+ג
ו. א+ב+ג</t>
  </si>
  <si>
    <t>ה. 
לטבלת Hash ולערימה זמן חיפוש W.C.  EMBED Equation.DSMT4  . ל- Perfect Hashזמן חיפוש  EMBED Equation.DSMT4  W.C..</t>
  </si>
  <si>
    <t>נתונה ערימת מקסימום במימוש מערך (יש גישה לאיברי המבנה) בגודל n ונתון מספר k.
רוצים להדפיס את k האיברים הגדולים בערימה בזמן θ(klog(k)) W.C..
רמז:  אפשר להשתמש בערימה נוספת.</t>
  </si>
  <si>
    <t xml:space="preserve">האלגוריתם:
נחזיק ערימת עזר. בערימת העזר נחזיק חלק מהמפתחות של הערימה המקורית, עם מצביעים לצמתים המתאימים בערימה המקורית. בהתחלה נעתיק לערימת העזר את שורש הערימה המקורית.
בכל שלב נבצע ExtractMax מערימת העזר. נדפיס את האיבר שיצא x. את שני בניו בערימה המקורית נכניס לערימת העזר. נחזור על הנ"ל עד שהודפסו k איברים.
הסבר נכונות: 
אם המפתח של צומת הוא לא בין k המפתחות הגדולים, אז לא צריך להדפיס אותו, ובהכרח גם את בניו לא צריך להדפיס. נשים לב שבכל שלב ערימת העזר מכילה את כל האיברים הפוטנציאלים להדפסה, כלומר את כל הבנים (מהערימה המקורית) של הצמתים שהודפסו. כל צומת שאביו יודפס – יכנס בעצמו לערימה, וכל צומת שאביו לא יודפס – לא יכנס לערימה. לכן האלגוריתם ידפיס את k הערכים הגדולים ביותר, ואפילו בסדר יורד. ניתוח זמן ריצה:
בכל שלב מוציאים מערימת העזר איבר אחד ומכניסים במקומו שניים. כלומר גודל ערימת העזר הוא לכל היותר k+1. לכן זמן פעולה בסיסית על הערימה הוא  EMBED Equation.DSMT4  . 
מציאת שני הבנים מבוצעת בזמן   EMBED Equation.DSMT4   (כי יש מצביע לאיבר המתאים בערימה המקורית). סה"כ  EMBED Equation.DSMT4  . 
בכל שלב של הריצה מבצעים שלוש פעולות על ערימת העזר (פעם אחת Extract ופעמיים Insert). יש k שלבים כאלה. סה"כ  EMBED Equation.DSMT4  .
לכן סה"כ זמן ריצה  EMBED Equation.DSMT4  .
נשים לב שב-k/2 השלבים האחרונים הערימה כבר בגודל לפחות k/2, לכן זמן פעולה בסיסית על הערימה הוא  EMBED Equation.DSMT4  , כלומר זמן הריצה הכולל הוא גם  EMBED Equation.DSMT4  , ולכן  EMBED Equation.DSMT4  .
</t>
  </si>
  <si>
    <t>תור-פרוטקציה הוא מבנה נתונים שתומך בפעולות של תור (Enqueue,Dequeue) ובנוסף – פעולת כניסה בפרוטקציה PEnqueue. 
פעולות Enqueue,Dequeue שומרות על סדר תור רגיל (הראשון שנכנס הוא הראשון שיוצא).
איבר שנוסף לתור בפעולת PEnqueue יצא מהתור לפני כל האיברים בתורשנכנסו בפעולת Enqueue וגם לפני כל האיברים בתור שנכנסו (לפניו) בפעולת PEnqueue.
לדוגמה, הפלט בעקבות הפעולות הבאות:
Enqueue(3), Enqueue(4), Enqueue(10), Dequeue, Penqueue(2006), Penqueue(2005), Dequeue, Dequeue, Dequeue
יהיה (משמאל לימין)
3, 2005, 2006, 4
הציעו מימוש למבנה זה המשתמש במספר מינימלי של מחסניות בלבד וכן O(1) זכרון נוסף.
על המחסנית מותר לבצע את הפעולות הרגילות אבל אין גישה למימוש.
זמן W.C. של פעולות Enqueue ו- PEnqueue צריך להיות θ(1). 
זמן W.C. של פעולת Dequeue – לא מוגבל.
זמן Amortized לפעולה צריך להיות θ(1).</t>
  </si>
  <si>
    <t xml:space="preserve">שתי מחסניות A,B. 
מימוש פעולת Enqueue וניתוח זמן ריצתה:
Push למחסנית A. זמן ריצה  EMBED Equation.DSMT4  .
מימוש פעולת PEnqueue וניתוח זמן ריצתה:
Push למחסנית B. זמן ריצה  EMBED Equation.DSMT4  .
מימוש פעולת Dequeue:
אם מחסנית B לא ריקה – נבצע Pop ממנה.
אחרת – נעביר את כל האיברים ממחסנית A למחסנית B אחד אחרי השני ואז נבצע Pop מ-B ניתוח זמן Amortized לפעולה במבנה:
נסתכל על סדרה של N פעולות. בסדרה כזו נכנסו למבנה לכל היותר N איברים (על ידי פעולות Enqueue  ו-PEnqueue). 
אם איבר נכנס על ידי פעולת PEnqueue (כלומר למחסנית B) אז סה"כ מבוצעות עליו שתי פעולות לכל היותר: Push ל-B ואולי גם Pop מ-B.
אם איבר נכנס על ידי פעולת Enqueue (כלומר למחסנית A) אז סה"כ מבוצעות עליו ארבע פעולות לכל היותר: Push ל-A ואולי גם Pop מ-A ו-Push ל-B ואולי Pop מ-B.
כלומר בכל מקרה על כל איבר "מבזבזים" זמן O(1). 
לכן בכל סדרה של N פעולות זמן הריצה הוא O(N). ברור שזמן הריצה הוא גם  EMBED Equation.3  , כי כל פעולה בסדרה לוקחת  EMBED Equation.3  . 
לכן כל סדרה, ובפרט בסדרה הגרועה ביותר, לוקחת זמן ריצה  EMBED Equation.DSMT4  . 
 זמן Amortized לפעולה הוא לכן:  EMBED Equation.DSMT4  .
</t>
  </si>
  <si>
    <t xml:space="preserve"> נתון מבנה נתונים דינאמי  המאפשר Insert, Delete ו-FindMin.
תנו חסם תחתון לזמן Amortized לפעולה, בהנחה שהמבנה מתאים לשימוש במודל ההשוואות </t>
  </si>
  <si>
    <t>EMBED Equation.DSMT4  
הוכחה: יהי A מבנה נתונים דינמי נראה סדרה של פעולות שמאפשרת למיין מערך בגודל n:
1. נבצע n פעולות Insert.
2. נחזור n פעמים על הפעולה הבאה:
נבצע FindMin, נדפיס את האיבר שמצאנו ונמחק אותו מהמבנה.
הנ"ל הוא אלגוריתם מיון, וברור שהוא במודל ההשוואות (כי המבנה במודל ההשוואות).</t>
  </si>
  <si>
    <t xml:space="preserve">נתון עץ אדום-שחור ריק. מבצעים עליו n פעולות Insert, כאשר בפעולת Insert נתון רק מצביע לשורש העץ, והאלמנט  החדש. (כלומר, לא נתון מצביע למקום ההכנסה, או כל מידע נוסף). מה מהבאים נכון?
א. זמן הריצה הכולל יהיה θ(n) ומספר הרוטציות בהכרח O(n).
ב. זמן הריצה הכולל יהיה θ(nlog(n)) ומספר הרוטציות בהכרח O(n).
ג. זמן הריצה הכולל יהיה θ(n) ומספר הרוטציות יכול להיות Ω(nlog(n)).
ד. זמן הריצה הכולל יהיה θ(nlog(n)) ומספר הרוטציות יכול להיות Ω(nlog(n)). </t>
  </si>
  <si>
    <t>ב'. זמן הריצה של פעולה אחת הוא O(logn), ולכן של n פעולות יהיה O(nlogn). זה הדוק כי אם היה ניתן להכניס n מספרים לעץ חיפוש בזמן o(nlogn) אז אחרי זה היה ניתן לקרוא אותם בקריאת in-order בזמן לינארי, ולכן היה ניתן למיין בזמן o(nlogn).
מספר הרוטציות הוא O(n) בגלל שיכולה להתבצע רק רוטציה אחת בכל פעולת insert, כי רוטציה מתבצעת רק במקרה שהוא terminal, כלומר מקרה שאחריו  החוק האדום והחוק השחור מתקיימים והפעולה הסתיימה.</t>
  </si>
  <si>
    <t>נתון עץ חיפוש אדום-שחור  כאשר בכל צומת v נמצא שדה Size שמכיל את מס' הצמתים בתת-העץ ששורשו v (כולל v). מבצעים post-order (LRD) על העץ, אבל במקום להדפיס את המפתחות, מדפיסים את השדות Size
(תזכורת: סריקת post-order היא סריקה בה קודם מבצעים רקורסיבית סריקת post-order של תת-העץ השמאלי, אחרי כן של תת העץ הימני, ולבסוף מדפיסים את הערך בצומת עצמו).
השאלה: מה מהבאים נכון?
א. המספר הראשון שיודפס הוא הקטן ביותר.
ב. המספר האחרון שיודפס הוא הגדול ביותר.
ג. המספרים יודפסו בסדר מונוטוני עולה.
ד. סכום המספר הלפני-אחרון שיודפס עם המספר הלפני-לפני-אחרון שיודפס קטן באחד מהמספר האחרון שיודפס.
ה. א+ב
ו. א+ב+ג</t>
  </si>
  <si>
    <t xml:space="preserve"> ה.
א' נכון כי לצומת הראשון אין בן (כלומר הוא עלה), אחרת בנו היה נסרק לפניו.
ב' נכון כי אבא נסרק אחרי בניו ולכן הצומת האחרון שנסרק חייב להיות "יתום", כלומר שורש העץ.
 ג' וד' לא נכונים, למשל, אם ניקח עץ שלם בגובה 2.</t>
  </si>
  <si>
    <t>בשאלה זו נעסוק באלגוריתם מיון Quicksort. לכל אורך השאלה נניח שהקלט הוא מערך באורך n, ונתעניין רק במערכים בהם כל האיברים שונים. כזכור, לכל אלגוריתם מיון מתאים עץ בינארי המתאר את ההשוואות שהאלגוריתם מבצע על כל הקלטים האפשריים.
נתעניין באלגוריתם המיון QuickSort כאשר איבר הציר (Pivot) נבחר להיות הראשון בקטע המערך עליו האלגוריתם פועל (ולא נבחר על ידי הגרלה), ובעץ ההשוואות המתאים.
א. מהו העומק הקטן ביותר של עלה בעץ השוואות זה כפונקציה של n?</t>
  </si>
  <si>
    <t xml:space="preserve">), מאותה סיבה ש-quicksort הרגיל דורש O(nlogn) השוואות. במקרה הכי טוב מתבצעת חלוקה של המערך לשני חלקים בגודל O(n), ועדיין יהיו O(log n) שלבים, ומס' ההשוואות בכל שלב הוא O(n). 
</t>
  </si>
  <si>
    <t xml:space="preserve"> מריצים את אלגוריתם QuickSort. בכל שלב איבר הציר נבחר להיות החציון. אבל, את החציון מוצאים על ידי פונקציה חדשה בשם NewSelect, שזמן הריצה שלה במקרה הגרוע על מערך בגודל n הוא O(n^1.5). זמן הריצה של אלגוריתם QuickSort שהגדרנו במקרה הגרוע יהיה:
א. O(n) 
ב. O(nlog(n)) 
ג. O(n^2)  
ד. O(n^1.5)  
ה. O(n^1.5log(n))   
ו. O(n^3)   </t>
  </si>
  <si>
    <t xml:space="preserve">זמן הריצה הכולל הוא  T(n)=2T(n/2) +n3/2, ולפי שיטת האב, למשל, מקבלים את ד'.
</t>
  </si>
  <si>
    <t>נתונים n מספרים. רוצים לבנות מהם מבנה נתונים. איזה מהמבנים הבאים זמן הבניה
worst-case יהיה הארוך ביותר? 
א. טבלת Hash שבה פתרון התנגשויות על ידי רשימות מקושרות.
ב. Perfect Hash
ג. ערימת מקסימום.
ד. עץ חיפוש AVL.
ה. א+ג
ו. א+ב+ג</t>
  </si>
  <si>
    <t>ב'. 
עץ חיפוש מאוזן דורש זמן בניה של O(nlogn).
מבנים א' ו-ג' דורשים זמן בנייה של O(n).
אבל Perfect Hash עלול לדרוש זמן בלתי מוגבל: כל פעם מגרילים פונקציית Hash ומנסים אותה, ועלולים להיכשל מספר בלתי מוגבל של פעמים. לכן זמן הבנייה  worst-case אינו חסום.</t>
  </si>
  <si>
    <t>תאר מימוש לפעולה DeleteMin בערימה (Heap) הממומשת כמו שתיארנו בכתה שמבצע  O(log(n)^0.5) השוואות במקרה הגרוע ביותר, או הוכח כי אין מימוש כזה.</t>
  </si>
  <si>
    <t xml:space="preserve">אין מימוש כזה. אחרת היה אפשר למיין n איברים במודל ההשוואות בזמן o(nlogn) בניגוד למה שהוכחנו בכיתה. זאת על ידי בניית ערימה בזמן לינארי (כפי שלמדנו) ואז קריאה ל-DeleteMin n פעמים, והדפסת האיבר המתקבל בכל פעם. </t>
  </si>
  <si>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worst-case הטוב ביותר שתוכלו.</t>
  </si>
  <si>
    <t xml:space="preserve">אלגוריתם: זמן ריצה O(n).
מצא את האיבר ה-n/4 בגודלו מבין נקודות ההתחלה, נקרא לו a.
מצא את האיבר ה-n/43 בגודלו מבין נקודות הסיום, נקרא לו b.
סרוק את הקטעים בזה אחר זה וספור כמה מתחילים אחרי a ומסתיימים לפני b.
ניתוח זמן ריצה: מציאת האיבר ה-i בגודלו הוא O(n) בעזרת Select. הסריקה לוקחת O(n) כי כל בדיקה לוקחת שתי השוואות, כלומר  O(1).
</t>
  </si>
  <si>
    <t>נתונים n קטעים על הישר (כל קטע נתון על ידי נקודות התחלה וסיום). לשם פשטות, נניח שכל 2n הנקודות שונות זו מזו.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מבנה נתונים דינמי, המאפשר Insert ו-Delete של קטעים על הישר בזמן O(log n) במקרה הגרוע וכן תומך בפעולה IsCentric(p) שמקבלת מצביע לקטע במבנה, ועונה האם הקטע הוא מרכזי, בזמן O(1) במקרה הגרוע.</t>
  </si>
  <si>
    <t xml:space="preserve">תאור המבנה: 
עץ מאוזן שמכיל את כל נקודות ההתחלה, ומשמש גם למציאת order-statistic כפי שנלמד בכיתה, ע" שמירת כמות הצאצאים של כל צומת. 
עץ נוסף כזה המכיל את נקודות הסיום. 
בעץ של נקודות ההתחלה יהיה מצביע p1 לצומת המייצג את האיבר ה-n/4 בגודלו
בעץ של נקודות הסיום יהיה מצביע p2 לצומת המייצג את האיבר ה-3n/4 בגודלו מימוש פעולת Insert וניתוח זמן ריצה:
מכניסים את נקודת ההתחלה של הקטע לעץ הראשון, ומעדכנים את כמות הצאצאים בכל צומת כפי שלמדנו בכיתה.
בנוסף, מחפשים את האיבר ה-n/4 בגודלו בעץ ומעדכנים את המצביע p1.
כנ"ל עבור נקודת הסיום והעץ השני, עם מצביע p2.
ההכנסה לעץ os לוקחת O(logn) כפי שנלמד בכיתה, ואותו זמן לוקח למצוא את האיבר המתאים.
סה"כ: 2*2*O(logn)=O(logn) זמן ריצה.
מימוש פעולת Delete וניתוח זמן ריצה: בדומה ל- Insert, מוחקים את ערך נקודת ההתחלה מהעץ הראשון, ומעדכנים את p1. באופן דומה עבור העץ השני.
מימוש פעולת IsCentric וניתוח זמן ריצה: 
בודקים אם ערך נקודת ההתחלה של הקטע הנתון גדול מ-p1 וקטן מ-p2. זמן: O(1), כי בסה"כ מבצעים 2 השוואות.
</t>
  </si>
  <si>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מהו החסם על סיבוכיות הזמן במקרה הגרוע של כל פעולה. הוכח תשובתך.</t>
  </si>
  <si>
    <t xml:space="preserve">( O(n2
בסיום כל שלב ברקורסיה ה-Pivot נמצא במקום הנכון, ולכן יהיו לכל היותר n קריאות רקורסיביות, שכל אחת תיקח זמן O(n). כלומר אין מקרה שבו נדרשים יותר מ-O(n2)  השוואות.
זהו חסם הדוק משום שעלה בעומק הזה הוא, למשל, העלה המתאים למערך ממוין או מערך ממוין ההפוך. Makeset ו-Union ייקחו O(1) כי המימוש שלהם לא תלוי בכמות האיברים בקבוצה.
Find ייקח O(log n), כאשר n הוא מספר הפעמים שנקראה הפעולה Makeset.
הוכחה: זמן הפעולה של Find(x) הוא עומקו של הצומת המייצג את-x. בכל פעם שעודכן השורש של העץ אליו שייך x  - גודל הקבוצה (העץ החדש) שאליה הוא שייך גדלה לפחות פי 2. מכאן, שאם השורש של x עודכן O(logn) פעמים יש לפחות O(n) איברים בקבוצה. במילים אחרות: בקבוצה בת n איברים עומק של עלה בעץ לא יכול להיות יותר מ-O(logn).
ראי גם קורמן כרך ב' עמ' 61 להסבר דומה שלמדנו בכיתה עבור רשימות מקושרות.
</t>
  </si>
  <si>
    <t>נממש מבנה נתונים המייצג אוסף של קבוצות זרות ותומך בפעולות הבאות:
Makeset(x): בהינתן איבר x בונה ומחזיר קבוצה המכילה רק את האיבר x.
Union(s1,s2): בהינתן שתי קבוצות s1 ו-s2 מחזיר קבוצה s שהיא איחוד של s1 ו-s2. הקבוצות s1 ו-s2 אינן קיימות לאחר ביצוע הפעולה.
Find(z): בהינתן מצביע לצומת המייצג איבר z, מחזיר את הקבוצה בה נמצא z. (שים לב – מניחים שמתקבל מצביע ישירות לצומת המייצג את z)
מייצגים כל קבוצה על-ידי עץ. בכל צומת בעץ נמצא איבר ונמצא מצביע לאביו בעץ. בשורש העץ מאוכסן גם גודל הקבוצה. שורש העץ משמש כ"מייצג" של הקבוצה. לדוגמה: העץ
מייצג את הקבוצה {x,y,z,w,u} שגודלה 5.
מימוש Makeset מקצה צומת חדש שמהווה עץ חדש. בשורש נאחסן את האיבר x, ואת הגודל שהוא 1.
מימוש Union(s1,s2) יתבצע על-ידי הפיכת השורש של הקבוצה הקטנה יותר לבן של השורש של הקבוצה הגדולה יותר. כמו כן נשנה את הגודל של השורש בקבוצה הגדולה יותר להיות סכום גדלי שתי הקבוצות.
מימוש find(z) יתבצע על-ידי כך שנתקדם מהצומת z על-פי מצביעי האב עד לשורש ונחזיר את השורש. מוסיפים גם את הפעולה Delete(z) שמוחקת את האיבר המאוחסן בצומת אליו מצביע z. (שוב – כמו ב-Find, מקבלים מצביע ישירות ל-z).  כדי לתמוך בפעולה זו נרשה צמתים שבהם נמצאים איברים המסומנים כמחוקים (deleted). בשורש של קבוצה נרשום גם את מספר האיברים המחוקים בעץ. כמו-כן, בסעיף זה כל צומת יחזיק רשימת מצביעים לבניו בנוסף למצביע לאביו. (במימוש שתואר בסעיף הקודם לא היו מצביעים לבנים, רק לאב).
המימוש של Delete(z) מסמן את האיבר בצומת z כמחוק, ואחר-כך עוקבים אחר מצביעי-האב עד לשורש ומגדילים את מספר האיברים המחוקים בקבוצה ב-1. אם מספר האיברים המחוקים גדול מחצי מספר אברי הקבוצה, סורקים את כל העץ המייצג את הקבוצה, ומשחררים כל צומת המחזיק איבר מחוק. מבין האיברים שאינם מחוקים, בוחרים אחד שיהיה השורש, ואת כל שאר האיברים הלא-מחוקים הופכים להיות בנים שלו. 
לדוגמה, אם הקבוצה s={z,u,a,b} מיוצגת ע"י המבנה בצורה הבאה:
ומבצעים Delete(u) אזי העץ שמייצג את הקבוצה לאחר ביצוע הפעולה יהיה:
בהנחה ש-a נבחר להיות השורש.
כמה זמן לוקח לבצע סדרה של m פעולות, כאשר מספר האלמנטים בכל רגע לא עולה על n, וכאשר מס' הפעולות שהן Find או Delete הוא k? (שאר m-k הפעולות הן Makeset או Union). הוכח את תשובתך.</t>
  </si>
  <si>
    <t>קל לראות שאם לא מתבצעים בכלל delete-ים, אז העלות הכוללת היא O(m+klogn). נבצע Amortized Analysis ונוכיח שגם אם כן מתבצעים delete-ים, העלות נשארת אותו דבר. נשתמש בשיטת הבנק. כל delete יפקיד שני מטבעות. delete  יקר, כזה שבונה מחדש את העץ, ימשוך מס' מטבעות כגודל העץ. נניח שעשינו delete יקר על עץ בגודל x, שבו x/2 מהצמתים מסוןמנים כמחוקים. אז הפעולות שגרמו להם להיות מחוקים הפקידו 2*x/2=x מטבעות, ולכן אף פעם לא נהיה באוברדרפט.
בסה"כ קיבלמו שהמחיר הכולל הוא  O(m+klogn).</t>
  </si>
  <si>
    <t xml:space="preserve"> יהיו f(n) = (n^0.5)^(n^0.5), 
g(n) = (n^0.5)!.
נרצה להשוות את ה-log  של שתי הפונקציות.  מה מהבאים נכון?
א. log(f(n)) = o(log(g(n)))
ב. log(f(n)) = w(log(g(n))) 
ג. log(f(n)) = θ(log(g(n)))
ד. אף אחד מהנ"ל.</t>
  </si>
  <si>
    <t>ג.  EMBED Equation.DSMT4       EMBED Equation.DSMT4       EMBED Equation.DSMT4</t>
  </si>
  <si>
    <t>פתרו את נוסחת הנסיגה הבאה:
T(n) = (T(n/2)^2)*(2^n), T(1) = 2
T(n) = ?
א. 2^θ((log(n))
ב. 2^θ((n))
ג. 2^θ((nlog(n))
ד. 2^θ((n^2))
ה. θ(2^(n!))
ו. אף אחד מהנ"ל.</t>
  </si>
  <si>
    <t>ג.אפשר להפעיל lg על שני הצדדים, להציב S(n) = lg (T(n) , ולקבל נוסחת נסיגה כמו של MergeSort.אפשר גם לפתח בשיטת האיטרציה, ואז המעריך מתנהג כמו הסכום המצטבר בפיתוח של MergeSort.ואפשר בעוד שיטות.</t>
  </si>
  <si>
    <t>נתונה ערימת מקסימום בגודל n. שינו את המפתחות של n/4 מהעלים בערימה, כך שעכשיו יתכן שהערימה כבר לא חוקית. נרצה להפוך את הערימה לחוקית בזמן ריצה W.C. מינימלי. הניחו שיש גישה לאברי הערימה (כלומר הערימה לא קופסה שחורה).
זמן הריצה W.C. יהיה:
א. θ(log(n))
ב. θ(log(n)^2) 
ג. θ(n)
ד. θ(nlog(n))
ה. θ(n^3)
ו. אף אחד מהנ"ל.</t>
  </si>
  <si>
    <t>ג.הזמן שדרוש כדי לגשת לכל אחד מהצמתים ששושנו הוא   EMBED Equation.DSMT4      לכן לא יתכן פתרון מהיר יותר.בזמן   EMBED Equation.DSMT4     אפשר לבצע BuildHeap מחדש על כל האיברים.</t>
  </si>
  <si>
    <t>נתון עץ אדום שחור כמו שנלמד בכיתה (דוגמה מצורפת). 
הניחו שהשורש שחור ושלכל צומת  n   מוסיפים שדהsize(n)  הסופר את מספר הצמתים בתת העץ ששורשו בצומת (לא כולל את צמתי ה-nil).  הניחו שהעץ הוא אדום שחור חוקי (אך לא בהכרח נבנה בעזרת פעולות insert  שנלמדו בכיתה).  יהיו L,R   בניו של השורש (הניחו שהם קיימים ואינם nil). הננו מחפשים חסם ל size(R)  כפונקציה של size(L). איזה חסם מהחסמים הבאים הינו החסם ההדוק ביותר על size(R) :
א. 0.1*size(R) &lt;= (size(L) + 1)^2
ב. 0.1*size(R) &lt;= (size(L) + 1)*2
ג. 0.1*size(R) &lt;= size(L)*(2^0.5)
ד. 0.1*size(R) &lt;= 2^size(L)
ה. 0.1*size(R) &lt;= (size(L) + 1)*1.5</t>
  </si>
  <si>
    <t>א.גובה השחור של L ו-R חייב להיות שווה בכל מסלול מעלה לשורש. לכן, העץ הקטן ביותר האפשרי לגובה שחור מסוים h יהיה עץ ללא צמתים אדומים (וגודלו יהיה 2h). מצד שני, לכל צומת אדום יש אבא שחור. לכן העץ המקסימלי מתקבל על ידי שכבות צמתים אדומות ושחורות לסרוגין. גודלו יהיה לא יותר מ-22h+1 (הגובה 2h+1 כי במקרה של L ו-R גם השורש יכול להיות אדום).</t>
  </si>
  <si>
    <t>נבצע סריקת LDR על עץ חיפוש בינרי בגודל n (לא בהכרח מאוזן), אבל בכל שלב, במקום להדפיס את המפתח של הצומת הנכחי x, נדפיס את המפתח של אבא שלו. אם x הוא שורש העץ, לא נבצע הדפסה באותו השלב. מה מהבאים נכון?
א. כל מפתח בעץ, למעט המפתחות של העלים והשורש, יודפס פעמיים.
ב. הערכים שיודפסו, יהיו בסדר מונוטוני עולה.
ג. מספר המפתחות שיודפסו פעמיים הוא θ(n) לכל עץ.
ד. א + ג
ה. א + ב + ג
ו. אף אחד מהנ"ל.</t>
  </si>
  <si>
    <t>ו.א' לא נכון כי כל צומת שיש לו בן יחיד יודפס רק פעם אחת.ב' לא נכון, למשל העץ עם שורש 3, בן שמאלי 1 ולבן השמאלי בן ימני 2. יודפס קודם 3 ואחר-כך 1.ג' לא נכון, למשל עבור עץ שבו כל צומת הוא עלה או שיש לו בן יחיד.</t>
  </si>
  <si>
    <t>נתון מבנה נתונים A המכיל n מפתחות. רוצים למצוא מצביע לאיבר שהמפתח שלו הוא חציון  המפתחות, בזמן W.C. המהיר ביותר. לשם כך עדיף ש-A יהיה:
א. טבלת Hash בגודל n עם פתרון התנגשויות על ידי עצי 2-3.
ב. רשימה דו כיוונית מקושרת ממוינת בסדר עולה.
ג. עץ AVL עם תמיכה בפעולות סדר-סטטיסטי.
ד.  טבלת Hash בגודל n עם פתרון התנגשויות על ידי רשימות מקושרות דו כיווניות, וידוע שהערכים הם המספרים השלמים 1 עד n.
ה.  א + ד
ו. ב + ג</t>
  </si>
  <si>
    <t xml:space="preserve">ג.א – צריך לסרוק את כל האיברים שבעצים שבטבלה ולכן יקח   EMBED Equation.DSMT4     .ב- כדי להגיע לאיבר שבאצמצע הרשימה צריך לרוץ על חציה, לכן יקח   EMBED Equation.DSMT4     .ג – מציאת סדר סטטיסטי n/2 ניתנת לביצוע בזמן   EMBED Equation.DSMT4     .ד – החציון הוא המספר n/2. מציאת התא   EMBED Equation.DSMT4     . חיפוש ברשימה   EMBED Equation.DSMT4     . סה"כ   EMBED Equation.DSMT4    </t>
  </si>
  <si>
    <t>מהו החסם התחתון במודל ההשוואות של זמן ריצה W.C. של אלגוריתם מיון, אם ידוע ש-n^0.5 האיברים הקטנים כבר במקום הנכון?
א. θ(log(n))
ב. θ(nlog(n)) 
ג. θ(n) 
ד. θ(n^1.5)
ה. θ(nlog(n)^0.5)
ו. אף אחד מהנ"ל.</t>
  </si>
  <si>
    <t>ב.עדיין צריך למיין מערך בגודל   EMBED Equation.DSMT4     . מיון מערך בגודל k בהנחת מודל ההשוואות לוקח   EMBED Equation.DSMT4     . אבל   EMBED Equation.DSMT4</t>
  </si>
  <si>
    <t>נתון מערך המכיל יצוג של n נקודות במישור (כל נקודה נתונה על ידי זוג (x,y) ). רוצים להכריע האם קיים ישר שעובר דרך ראשית הצירים (דרך (0,0)) כך שלפחות 0.75*n מהנקודות נמצאות על הישר. נרצה אלגוריתם שפותר את הבעיה בזמן W.C. מינימלי. זמן W.C. יהיה:
א. θ(log(n))
ב. θ(n) 
ג. θ(nlog(n))
ד. θ(n^2)
ה. θ(n^2log(n))
ו. אף אחד מהנ"ל.</t>
  </si>
  <si>
    <t xml:space="preserve"> ב.לכל נקודה נחשב בזמן   EMBED Equation.DSMT4      את השיפוע של הישר המחבר אותה לראשית הצירים.קיבלנו בזמן   EMBED Equation.DSMT4      מערך המכיל את כל השיפועים, ונרצה לדעת האם יש ערך שחוזר   EMBED Equation.DSMT4      פעמים.אם יש כזה הוא חייב להיות החציון. לכן, נפעיל את אלגוריתם Select למציאית החציון בזמן   EMBED Equation.DSMT4     , ונוודא על ידי סריקת המערך שערך זה אכן מופיע   EMBED Equation.DSMT4      פעמים. אם כן – נחזיר "כן" אחרת נחזיר "לא".סה"כ זמן ריצה   EMBED Equation.DSMT4     . ברור שאי אפשר מהר יותר כי צריך לקרוא את הקלט.</t>
  </si>
  <si>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תנו חסם תחתון לזמן ריצה W.C. לפתרון הבעיה הנ"ל במודל ההשוואות.
 </t>
  </si>
  <si>
    <t>הוכחה: נראה חסם   EMBED Equation.DSMT4     . נסמן ב-T(n) את זמן הריצה W.C. של האלגוריתם הטוב ביותר לבעיה הנ"ל שפועל בהנחת מודל ההשוואות. נראה איך אפשר לבנות מאלגוריתם כזה אלגוריתם מיון:ניקח מערך בגודל n. נבנה ממנו ערימה בזמן W.C.   EMBED Equation.DSMT4     . נוסיף את המצביעים s בזמן T(n).נמצא את המינימום בזמן   EMBED Equation.DSMT4     .נסרוק את הערימה בעזרת המצביעים - נתחיל מהדפסת המינימום ובכל צעד נעבור לאיבר הבא בעזרת המצביע s ונדפיס אותו.קיבלנו אלגוריתם מיון שרץ בזמן   EMBED Equation.DSMT4     .כל הפעולות שביצענו על המפתחות המקוריים הן פעולות השוואה (גם בתוך האלגוריתם BuildHeap).לכן האלגוריתם מתאים להנחת מודל ההשוואות. לפי החסם שהראינו בכיתה אלגוריתם כזה דורש זמן W.C.   EMBED Equation.DSMT4     .לכן בהכרח   EMBED Equation.DSMT4     טעויות נפוצות: - הוכחת חסם עליון במקום תחתון (כלומר, הצעת אלגוריתם ספציפי שפותר את הבעיה בזמן הנ"ל)התעלמות מזמן בניית הערימה (ההוכחה בכיתה התחילה ממערך של n איברים, ולא ערימה שקיימת בה חוקיות מסוימת)הוכחה שלא יכול להיות שעדכון כל איבר ספציפי ייקח o(logn), כלומר, קיים איבר שעבורו ייקח יותר זמן. מזה לא נובע שאי אפשר לעדכן את כל האיברים בזמן o(nlogn).</t>
  </si>
  <si>
    <t xml:space="preserve">נתונה ערימת מינימום, ללא מפתחות כפולים.
לכל צומת x יש שדה נוסף s, שמאותחל ל-nil. רוצים שהשדה s של כל צומת x יכיל מצביע לעוקב  של x. הניחו שיש גישה לאברי הערימה (כלומר הערימה לא קופסה שחורה). אין לשנות את מבנה הערימה. הציעו אלגוריתם שמבצע את הנ"ל בזמן כולל W.C. כמה שיותר טוב, אם נתון שהמפתחות הם שלמים בתחום 1 עד 2n  . </t>
  </si>
  <si>
    <t>תיאור האלגוריתם:
I. נסרוק את הערימה (למשל DLR) ונעתיק את המפתחות למערך עזר. נזכור לכל מפתח מצביע למקומו המקורי בערימה.
II. נמיין את המערך על ידי שימוש באלגוריתם
 מיון בזמן לינארי, למשל  CountSort
 (או BinSort).
III. נסרוק את המערך משמאל לימין, ולכל איבר ניגש (בעזרת המצביע) לצומת המתאים לו בערימה ונעדכן את השדה s שיכיל את המצביע שבאיבר הבא במערך.</t>
  </si>
  <si>
    <t>נתון עץ 2-3 שבו בכל צומת מצוי שדהsize(x)  שמכיל את מספר הצמתים בתת העץ ששורשו בצומת x. מעוניינים להדפיס את k השדותsize  הגדולים ביותר במבנה.  מובטח ש: EMBED Equation.DSMT4  .
שימו לב: יתכן מצב שבין k הצמתים שיודפסו, לא יהיה הבן הימני של השורש.
הציעו אלגוריתם עם זמן ריצה W.C. הטוב ביותר שתוכלו .</t>
  </si>
  <si>
    <t>תיאור האלגוריתם:
בדומה לאלגוריתם עבור הדפסת k האיברים הגדולים בערימת מקסימום.
נשים לב שהשדה Size של צומת תמיד גדול מהשדה Size של בניו. לכן השדה Size של צומת יודפס רק אחרי שיודפס השדה Size של אביו. 
נחזיק ערימת עזר A (ערימת מקסימום) שתכיל את המועמדים להדפסה. בכל שלב נוציא מ-A  את המקסימלי, נדפיס אותו, ובמקומו נכניס לערימה את השדה Size של שני בניו בעץ המקורי (אם יש לו רק בן אחד אז רק אותו ואם הוא עלה בעץ אז לא נכניס במקומו אף אחד). בנוסף נזכור, לכל ערך שהכנסנו ל-A, מצביע למיקומו בעץ.
נעצור אחרי שהדפסנו k ערכים, כאשר מתחילים עם הכנסת שורש העץ ל-A.</t>
  </si>
  <si>
    <t>בB-trees- עם דרגה מינימאלית d (לכל צומת פנימי בין d ל-2d ילדים) כמות המידע הנשמרת בעלים קטנה יותר מכיוון שאין צורך לשמור שם מצביעים לילדים. נניח ש- block על הדיסק גדול מספיק להכיל צומת בגודל מקסימאלי ושכל צומת מאוכסן ב-block נפרד על הדיסק.
על מנת לנצל את המקום הפנוי ב-block disk המכיל עלה נשנה את הגדרת העץ ונקבע שבכל עלה יהיו בין 2d-1 ל-4d-1 אלמנטים במקום בין d-1 ל-2d-1. נתון שגודל אלמנט הוא כגודל מצביע, ולכן עלה מוגדל כזה עדיין נכנס ב-block. כל עוד אין בעץ יותר מ-4d אלמנטים העץ מורכב מעלה מוגדל בודד.
נקרא לעץ כזה עץ B-tree עם עלים מוגדלים.
א. מהו המספר המינימאלי והמקסימלי של אלמנטים בעלים של B-tree עם עלים מוגדלים בגובה h? מהו המספר המינימאלי והמקסימלי של אלמנטים בצמתים הפנימיים של B-tree עם עלים מוגדלים בגובה h? תן חסמים מדוייקים (לא אסימפטוטיים). נמק תשובתך.</t>
  </si>
  <si>
    <t>מספר מינימלי של עלים: 2d^(h-1) (לשורש מינימום שני עלים)
מספר מקסימלי של עלים: (2d)^h
מספר מינימלי של איברים בעלים: 2d^(h-1)(2d-1)
מספר מקסימלי של איברים בעלים: (2d)^h(4d-1) (ניקוד מלא ניתן להכפלה לפני השינוי ב-2d וב-4d)
מספר מינימלי של איברים בצמתים הפנימיים: 2d^(h-1)-1
מספר מקסימלי של איברים בצמתים הפנימיים: (2d)^h-1</t>
  </si>
  <si>
    <t>תאר בקצרה אלגוריתם להכנסה top-down (האלגוריתם לא משנה את העץ לאחר הכנסת האיבר לעלה המתאים אלא רק תוך כדי החיפוש) ל-B-tree עם עלים מוגדלים כמתואר לעיל.</t>
  </si>
  <si>
    <t>מחפשים את מיקום האיבר החדש בעץ החל מהשורש. בכל פעם שיורדים בדרך לצומת מלאה (צומת המכיל 2d בנים) מפצלים אותו, כך שלא תיווצר שרשרת פיצולים כאשר נגיע לעלה. כאשר מגיעים
לעלה מכניסים את האיבר כרגיל, בשלב זה עשוי להיגרם פיצול אחד לכל היותר.</t>
  </si>
  <si>
    <t>מהי סיבוכיות הזמן וה-IO של האלגוריתם שתיארת במקרה הגרוע? (סיבוכיות IO = מספר גישות לבלוקים שונים). הצג באופן מפורש את תלות הביטוי ב-d ונמק את תשובתך.</t>
  </si>
  <si>
    <t>סיבוכיות זמן: O(d log_d(n)), יש log_d(n) רמות ובכל רמה עשוי להתרחש פיצול שלוקח O(d).
סיבוכיות IO: O(log_d(n)), בכל רמה ניגשים למספר קבוע של בלוקים.</t>
  </si>
  <si>
    <t>מבצעים סדרה של m הכנסות לB-tree עם עלים מוגדלים עם פרמטר d ריק בתחילה. תן חסם (אסימפטוטי) הדוק ככל שתוכל על מספר פעולות הsplit שמתבצעות במהלך הסדרה. (להזכירך פעולת split מחלקת צומת בגודל מקסימלי לשני צמתים בגודל מינימאלי) . נמק תשובתך.</t>
  </si>
  <si>
    <t>החסם הוא .O(m)
ניתן להוכיח ע"י פונקצית פוטנציאל בדומה ל B-Tree רגיל.
מאחר ומתבצעות רק הכנסות ניתן גם לכתוב שמספר הצמתים הוא מספר הפיצולים שהיו ולחסום אותו מלמעלה ע"י O(m/d) על פי גודל הצמתים.</t>
  </si>
  <si>
    <t>נתונים B-trees עם עלים מוגדלים T1 ו-T2 כמתואר לעיל ואיבר נוסף z. נתון כי כל האיברים ב-T1 קטנים מ-z וכל האיברים ב-T2 גדולים מ-z. תאר (בקצרה) ממוש פעולת שרשור concat(T1, z, T2) שמחזירה עץ אחד שמכיל את כל האיברים ב-T1, T2 ו-z. כמה זמן לוקח לבצע את הפעולה כפונקציה של מספר האיברים n1 ב-T1 ומספר האיברים n2 ב-T2? (הנח כי בשורש כל עץ שומרים את גובהו)</t>
  </si>
  <si>
    <t>נסמן h1 = T1 ו-h2 = T2. נניח ש-h1 &gt; h2 והמקרה ההפוך סימטרי: מטיילים ב-T1 על הענף הימני ביותר עד שמגיעים לגובה h2 + 1. מוסיפים את z כאיבר הימני ביותר של הצומת הימני ביותר, ואת השורש של T2 כבן הימני שלו, ומבצעים תיקונים כנדרש.
סה"כ סיבוכיות זמן היא O(log(n1) - log(n2)) = O(h1 - h2) גם עבור הטיול בעץ וגם עבור הפיצולים הנדרשים.</t>
  </si>
  <si>
    <t>משתמשים באלגוריתם rand-quicksort שנלמד בכיתה לצורך מיון מערך בגודל .n מהי תוחלת מספר המספרים המקריים שמוגרלים על ידי האלגוריתם (תן חסם אסימפטוטי). נמק.</t>
  </si>
  <si>
    <t>מספר המספרים האקראיים המוגרלים הוא תמיד מסדר גודל של n, ולכן התוחלת היא גם n. הסיבה: (נניח כל האיברים שונים זה מזה) בכל שלב שנבחר פיבוט, יורד איבר אחד מסך האיברים שממשיכים עליהם. לכן, עד שמגיעים לגודל קלט קבוע, מספר הפיבוטים שמוגרלים הוא לינארי ב-n.</t>
  </si>
  <si>
    <t>משתמשים באלגוריתם rand-partition שתואר בכיתה בכדי לחלק מערך בגודל n. (כזכור האלגוריתם מחליף את האיבר האחרון במערך עם איבר מקרי ומשתמש בו כאיבר pivot). מה ההסתברות המדויקת שהחלק הקטן בחלוקה מכיל פחות מ-k איברים? (ניתן להניח שכל איברי המערך שונים זה מזה וכן ש-k &lt; n/2). נמק/י תשובתך.</t>
  </si>
  <si>
    <t>.2k/n</t>
  </si>
  <si>
    <t>נגדיר אלגוריתם חלוקה חדש new-rand-partition שמפעיל את rand-partition שוב ושוב עד שהחלק הקטן בחלוקה מכיל לפחות n/5 איברים. (במידה והחלוקה שנוצרת ע"י קריאה מסוימת ל-rand-partition לא מקיימת את התנאי, מתעלמים מהחלוקה וקוראים ל-rand-partition שוב). מה תוחלת מספר ההשוואות שמבוצעות ע"י האלגוריתם new-rand-partition? מה מספר ההשוואות במקרה הגרוע ביותר? (תן/י תשובות לא אסימפטוטית מדויקות ככל האפשר). נמק/י את תשובתך.</t>
  </si>
  <si>
    <t>המקרה הגרוע לא חסום, כי אפשר להגריל אינסוף פעמים ותמיד החלוקה לא מקיימת את התנאי. ההסתברות להצלחה (חלוקה המקיימת את התנאי) היא 3/5 (לפי סעיף ב'). זה משתנה גיאומטרי והתוחלת שלו 5/3, כלומר תוך 5/3 הגרלות בתוחלת תמצא חלוקה טובה. מספר ההשוואות בכל הגרלה הוא n, ולכן תוחלת מספר ההשוואות היא 5n/3.</t>
  </si>
  <si>
    <t>נגדיר אלגוריתם מיון חדש new-rand-quicksort שמשתמש באלגוריתם החלוקה החדש new-rand-partition. מה תוחלת מספר ההשוואות שמבוצעות ע"י האלגוריתם new-rand-quicksort? (תשובה אסימפטוטית מספיקה). נמק/י את תשובתך.</t>
  </si>
  <si>
    <t>הרבה תשובות טענו "זה כמו quicksort" וזה לא נכון. ב-QS מספר ההשוואות ברמה הוא תמיד n, ומספר הרמות בתוחלת הוא O(log n). לעומת זאת, כאן מספר ההשוואות ברמה בתוחלת הוא לינארי ב-n, ואילו מספר הרמות הוא תמיד O(log n) כי החלוקה מבטיחה שיש לפחות חלק קטן בגודל לפחות n/5 וזה חוסם את מספר הרמות ב-log n לפי בסיס 5/4. דרך נוספת להוכיח על-ידי נוסחת נסיגה למספר ההשוואות בתוחלת ולפתור אותה על-ידי משפט המסטר (צריך להראות איזה מקרה זה) או עץ רקורסיה.</t>
  </si>
  <si>
    <t>הכניסו קבוצת איברים X1 בגודל n1 לטבלת hashing בגודל m שמשתמשת בשיטת ה-chaining תוך שימוש בפונקצית hashing h. כל הרשימות המקושרות שהתקבלו היו באורך של לכל היותר k1. הכניסו עתה קבוצת איברים שניה X2 בגודל n2 לטבלת hashing אחרת בגודל m שמשתמשת אף היא בשיטת ה-chaining תוך שימוש באותה פונקצית hashing h. כל הרשימות המקושרות שהתקבלו היו באורך של לכל היותר k2. לבסוף הכניסו את כל איברי X1 ו-X2, בסדר כלשהו, לטבלת hashing שלישית בגודל m, שוב תוך שימוש בשיטת ה-chaining ועם אותה פונקציה h. תן/י חסם, לא אסימפטוטי, טוב ככל האפשר על מספר המפתחות שיבחנו בעת פעולת חיפוש (מוצלח או לא מוצלח) בטבלת ה-hashing השלישית. נמק/י.</t>
  </si>
  <si>
    <t>מספר המפתחות שיבחנו בעת פעולת חיפוש הוא בדיוק אורך הרשימה.
ברשימה אחת יהיו לכל היותר k1+k2 איברים, לכן זהו המספר המקסימלי של מפתחות שייבחנו בעת חיפוש כלשהו.</t>
  </si>
  <si>
    <t>הכניסו קבוצת איברים X1 בגודל n1 לטבלת hashing בגודל m שמשתמשת בשיטת ה-linear probing תוך שימוש בפונקצית hashing h. כל חיפוש בטבלה שהתקבלה דרש קריאה של לכל היותר k1 תאים בטבלה. הכניסו קבוצת איברים שניה X2 בגודל n2 לטבלת hashing שניה בגודל m שמשתמשת בשיטת ה-linear probing תוך שימוש באותה פונקצית ה-hashing h. כל חיפוש בטבלה שהתקבלה דרש קריאה של לכל היותר k2 תאים בטבלה. לבסוף הכניסו את כל איברי X1 ו-X2 לטבלת hashing שלישית בגודל m, שוב תוך שימוש בשיטת ה-linear probing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נתון ש-n1+n2&lt;m. תן/י חסם, לא אסימפטוטי, טוב ביותר על מספר התאים שיקראו בחיפוש של איבר מ-X1, של איבר מ-X2, ושל איבר שאינו ב-X1 ואינו ב-X2. (תן/י שלושה חסמים שונים סך הכל). נמק/י.</t>
  </si>
  <si>
    <t>הערה: אם כל חיפוש בטבלה, כולל חיפוש לא מוצלח, דורש קריאה של לכל היותר k תאים אזי חיפוש של איבר שנמצא בטבלה דורש קריאה של לכל היותר k-1 תאים. איברי X1 יהיו באותו מקום שהיו בטבלה הראשונה, לכן חיפוש של איבר מ-X1 ידרוש קריאה של לכל היותר k1-1 תאים. איברים מ-X2 יכולים למלא את כל ה"חורים" בין איברי X1, לכן: חיפוש של איבר מ-X2: n1+n2 חיפוש של איבר שאינו נמצא בטבלה: n1+n2+1</t>
  </si>
  <si>
    <t>הנתונים הם כמו בסעיף ב אלא שהפעם הכניסו את כל איברי X1 ו-X2 לטבלת ה-hashing השלישית בגודל m תוך שימוש בשיטת ה-chaining ועם אותה פונקציה h. כל איברי X1 הוכנסו לטבלה לפני כל איברי X2. הסדר שבו הוכנסו איברי X1 ו-X2 לטבלה השלישית לא זהה בהכרח לסדר שבו הם הוכנסו לשתי הטבלאות הראשונות. תן/י חסם, לא אסימפטוטי, טוב ביותר על מספר המפתחות שיבחנו בעת חיפוש של איבר מ-X1, של איבר מ-X2, ושל איבר שאינו ב-X1 ואינו ב-X2 (תן/י שלושה חסמים שונים סך הכל). נמק/י.</t>
  </si>
  <si>
    <t>למספר הערכים בכל רשימה חסום ע"י מספר התאים שנדרש לקרוא מן הטבלה (מינוס אחד כי חיפוש לא מוצלח ידרוש קריאה של תא ריק), לכן:
חיפוש איבר מ-X1 ידרוש קריאה של לכל היותר k1-1 מפתחות.
חיפוש איבר מ-X2 ידרוש קריאה של לכל היותר (k1-1)+(k2-1), כלומר k1+k2-2 מפתחות (אם הרשימות שורשרו לאותו תא).
גם חיפוש איבר שאינו ב-X1 ואינו ב-X2 ידרוש קריאה של לכל היותר k1+k2-2 מפתחות מאחר וזה אורך הרשימה המקסימלי.</t>
  </si>
  <si>
    <t>חזרו שוב על הפעולות שתוארו בסעיף ב'. לאחר הכנסת כל איברי X1 ולאחר מכן כל איברי X2 לטבלה השלישית, מחקו מהטבלה את כל איברי X1 בסדר כלשהו, תוך שימוש באלגוריתם המחיקה שמזיז איברים בטבלה כפי שתואר בכיתה. תן/י חסם, לא אסימפטוטי, טוב ביותר על מספר התאים שיקראו בחיפוש של איבר מ-X2 ושל איבר שאינו ב-X2 (תן שני חסמים בסך הכל). נמק/י.</t>
  </si>
  <si>
    <t>על פי אלגוריתם המחיקה, לאחר המחיקה הטבלה נמצאת באותו מצב שהיתה נמצאת אם האיבר לא היה נכנס מעולם, לכן מצב הטבלה זהה לטבלה שבה הוכנסו רק איברי .X2
לכן חיפוש איבר מ X2 ידרוש קריאה של לכל היותר k2-1 תאים, וחיפוש איבר שאינו ב X2 ידרוש קריאה של לכל היותר k2 תאים.</t>
  </si>
  <si>
    <t>נתון גרף מכוון. הגרף מוגדר על-ידי קבוצה של n צמתים ו-m קשתות. כל קשת היא זוג סדור של צמתים. הקשתות היוצאות מכל צומת מאוכסנות ברשימה מקושרת (singly linked list).
כל צומת v מיוצג על ידי אובייקט שעליו ניתן לעשות את הפעולות הבאות בלבד:
edges(v): מחזירה את רשימת הקשתות שיוצאות מ-v.
נניח כי בגרף n צמתים שכל אחד מזוהה על ידי מספר שלם בין 1 ל-n. הפעולה id(v) מחזירה את המספר המתאים לצומת v.
הגרף כולו מיוצג על ידי מערך בגודל n בו התא id(v) מצביע לאובייקט המייצג את צומת v.
על רשימת קשתות L (היוצאות מצומת מסוים) ניתן לבצע את הפעולות הבאות בלבד:
first(L): מחזירה את הקשת הראשונה ברשימה.
delete-first(L): מסירה את הקשת הראשונה ברשימה.
insert-first(L,e): מכניסה אובייקט המייצג קשת e בתחילת רשימת הקשתות L.
length(L): מחזירה את אורך הרשימה L.
כל קשת e=(v,w) מיוצגת על ידי אובייקט שעליו ניתן לבצע את הפעולות הבאות בלבד:
next(e): מחזיר את הקשת העוקבת ל-e ברשימת הקשתות היוצאות מ-v.
delete-after(e): מסיר את הקשת שאחרי e ברשימת הקשתות שיוצאות מ-v.
source(e): מחזיר את הצומת v ממנו יוצאת e.
target(e): מחזיר את הצומת v אליו נכנסת e.
הפעולות שהוגדרו הן הפעולות היחידות שניתן לעשות על האובייקטים השונים המייצגים את הגרף.
לצורך ניתוח האלגוריתמים נסמן ב-d(v) את מספר הקשתות שיוצאות מ-v.
א. בהינתן שני צמתים v ו-w תאר אלגוריתם יעיל ככל שתוכל שבודק האם יש קשת מ-v ל-w. מה זמן הריצה של האלגוריתם?</t>
  </si>
  <si>
    <t>עוברים על רשימת הקשתים שיוצאות מ-v ובודקים אם יש קשת (v,w). זמן ריצה O(d(v)).</t>
  </si>
  <si>
    <t>בהינתן שני צמתים v ו-w תאר אלגוריתם דטרמניסטי יעיל ככל שתוכל שמחשב כמה שכנים משותפים יש ל-v ו-w, כלומר כמה צמתים x קיימים בגרף עבורן הקשתות (v,x) ו-(w,x) קיימות. ניתן להשתמש בזיכרון נוסף שגודלו פרופורציונאלי ל-d(v)+d(w). מהי סיבוכיות האלגוריתם שתיארת?</t>
  </si>
  <si>
    <t>נתחזק מילון עם הצמתים שיש קשת מ-v אליהם. נכניס את כל השכנים של v למילון. לאחר מכן, נעבור על השכנים של w, ונבדוק אם השכן נמצא במילון – אם כן, זה שכן משותף. מילון יעיל: עץ חיפוש בינארי מאוזן. עונה על סיבוכיות הגודל. זמן ריצה (d(v) + d(w)) * log(d(v)). אפשר לבחור לעשות זאת על v או על w לפי מי שיש לו פחות צמתים, ואז זמן הריצה (d(v) + d(w)) * log(min(d(v), d(w))).</t>
  </si>
  <si>
    <t>תאר אלגוריתם רנדומי יעיל ככל שתוכל למשימה בסעיף ב, מה סיבוכיות האלגוריתם שתיארת ?</t>
  </si>
  <si>
    <t>נשתמש במילון .hash ההכנסה וחיפוש ייקחו בתוחלת .d(v)+d(w)</t>
  </si>
  <si>
    <t>תאר מימוש יעיל ככל שתוכל של פעולה delete(e) שמסירה את הקשת e מהגרף. גודל הזיכרון בו משתמשים ליצוג הגרף בכל רגע צריך להיות פרופורציונאלי לגודל הגרף באותו רגע. לצורך מימוש delete(e) ניתן להשתמש גם בפעולות הבאות המאפשרות לזכור ביט נוסף עם כל קשת ומספר נוסף עם כל צומת.
set-bit(e,b): זוכר את הביט b עם הקשת e. שדה זה מאותחל ל-0.
get-bit(e): מחזיר את הביט של הקשת e.
set-num(v,n): זוכר את המספר n עם הצומת v. שדה זה מאותחל ל-0.
get-num(v): מחזיר את המספר של הצומת v.
מימוש בזמן amortized O(1) יזכה במלוא הנקודות.
האם הוספת הפעולה delete(e) מצריכה שינוי באלגוריתמים שתיארת בסעיפים הקודמים?</t>
  </si>
  <si>
    <t>פתרון על-ידי Lazy Deletions in singly linked lists שראיתם בכיתה (מצגת .(amortized הביט הנוסף מאפשר לזכור האם קשת "מחוקה." המספר בצומת מאפשר לזכור כמה קשתות מחוקות יש ברשימה.</t>
  </si>
  <si>
    <t>תאר אלגוריתם יעיל ככל שתוכל שממיין את הקשתות ברשימת הקשתות היוצאות מכל צומת בסדר עולה לפי מספרו של הקדקוד אליו הן נכנסות. מהי סיבוכיות האלגוריתם שתיארת?
ניתן להשתמש במבני נתונים נוספים, סך כל הזיכרון שלהם צריך להיות ליניארי בגודל הגרף, אבל כדי לשנות את הגרף עצמו השתמשו רק בפעולות שהוגדרו בתחילת השאלה.</t>
  </si>
  <si>
    <t>נמיין את כל הקשתות ביחד בעזרת radix sort. נסתכל על הקשתות כזוג ספרות בסיס n. נמיין על-ידי RS בבסיס n, זמן ריצה m+n. אחרי המיון ניתן להעביר את הקשתות של כל צומת לרשימה שלו ממויינות.</t>
  </si>
  <si>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א. מה ניתן להגיד על היחס בין האינדקסים של האיברים בעץ מדרגה i לעומת האינדקסים של האיברים בעץ מדרגה j בערימה לאחר סדרת ההכנסות של הסדרה, כאשר i&lt;j?</t>
  </si>
  <si>
    <t>כל האינדקסים בעץ מדרגה j קטנים מכל האינדקסים בעץ מדרגה i.</t>
  </si>
  <si>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ב. נבחן את מספר ה-linking בכל פעולה. ספקו חסם מדויק (לא אסימפטוטי) למספר ה-linking במקרה הגרוע של פעולת insert אחת, ושל כל פעולות insert בסדרה יחד.</t>
  </si>
  <si>
    <t>חסם מס' linking לפעולת insert אחת:  logn
חסם מס' linking לסדרת פעולות insert: n</t>
  </si>
  <si>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ג.  נתונה הסדרה ai = n-i, כלומר האיברים מוכנסים לערימה מהגדול לקטן. נבחן את מספר ה-linkings בכל פעולה. ספקו חסם מדויק (לא אסימפטוטי) למספר ה- linking במקרה הגרוע של delete-min אחד, ושל כל פעולות delete-min בסדרה יחד.</t>
  </si>
  <si>
    <t>חסם מס' linking לפעולת delete אחת: 0
חסם מס' linking לסדרת פעולות :delete 0</t>
  </si>
  <si>
    <t>בערימה בינומית ביצענו n הכנסות ולאחר מכאן n פעמים delete-min.
האיברים ai מ-i=1 עד n, הוכנסו לפי הסדר. כלומר, קודם הוכנס איבר a1, אז a2 ובסוף הוכנס an. נניח שלאחר n ההכנסות, יש יותר מעץ אחד בערימה.
ד. נניח שעבדנו על ערימה בינומית עצלה. בכל הכנסה העץ החדש נוסף לסוף רשימת העצים. בתהליך ה-successive linking, עוברים על העצים מסוף הרשימה לתחילתה. מה ניתן להגיד על היחס בין האינדקסים של האיברים בעץ מדרגה i לעומת האינדקסים של האיברים בעץ מדרגה j בערימה לאחר סדרת ההכנסות ופעולת del-min אחת (נניח שיש יותר מעץ אחד), כאשר i&lt;j?</t>
  </si>
  <si>
    <t>כל האינדקסים בעץ מדרגה j גדולים מכל האינדקסים בעץ מדרגה i.</t>
  </si>
  <si>
    <t>בונים טבלת hashing בגודל m בשיטת  ה-chaining. פונקצית ה-hash נבחרת באקראי ממשפחה אוניברסלית של פונקציות hash. לטבלה הוכנסו כבר n איברים שונים. מבצעים עתה חיפוש איבר x שנמצא כבר בטבלה. ספקו חסם טוב ככל האפשר (לא אסימפטוטי) על תוחלת מספר האיברים ברשימה שבה נמצא .x</t>
  </si>
  <si>
    <t>1+(n-1)/m</t>
  </si>
  <si>
    <t>בונים טבלת  hashing בגודל m בשיטת ה-open addressing (כלומר, כל האיברים נמצאים בטבלת ה-hashing ללא שימוש במצביעים). משתמשים בפונקציית hash מקרית לחלוטין מהצורה h(k,i), כאשר k הוא המפתח שאותו רוצים להכניס לטבלה ו-i הוא מספר הניסיון. (זאת שיטת ה-uniform probing. ערך המוחזר מקריאה ל-h(k,i) הוא שלם המוגרל יוניפורמית בין 2 ל-(m-1), בלתי-תלוי בהגרלות שבקריאות קודמות). לטבלה הוכנסו כבר n איברים שונים. מבצעים עתה חיפוש על איבר שאינו נמצא בטבלה. מה תוחלת מספר תאי הטבלה שנבדקים במהלך החיפוש? ספקו תשובה (לא אסימפטוטית) הדוקה ככל האפשר.</t>
  </si>
  <si>
    <t>1/(1-n/m)</t>
  </si>
  <si>
    <t>בונים טבלת  hashing בגודל m בשיטת ה-linear probing. מפתחות האיברים שמוכנסים לטבלה נלקחים מהקבוצה {0,1,…2m-1}. משתמשים בפונקצית ה-hash הבאה: h(k)=⌊k\2⌋. מכניסים לטבלה את האיברים 1,2,…m בסדר עולה. כמה זמן לוקחת הכנסת כל האיברים לטבלה תוך שימוש באלגוריתם ההכנסה הסטנדרטי? ספקו חסם אסימפטוטי.</t>
  </si>
  <si>
    <t>זמן ריבועי</t>
  </si>
  <si>
    <t>תהא  U={0,1,…u}. הניחו שכל איבר של U ניתן לייצוג במילת מחשב אחת. נתונה תת-קבוצה D⊆U בגודל n. תארו אלגוריתם הסתברותי יעיל ככל האפשר שבונה פונקציה h:U→{0,1,…100n} שהיא חד-חד ערכית על  D. (כלומר לכל x,y∈D מתקיים h(x)!=h(y)). כמות הזיכרון הדרושה לייצוג הפונקציה h צריכה להיות  O(n). חישוב h(x), בהינתן x∈D צריך לקחת O(1) זמן במקרה הגרוע ביותר.</t>
  </si>
  <si>
    <t>perfect hash</t>
  </si>
  <si>
    <t>נגדיר מערך זיג-זג, עבורו קיימים n ≤ j ≤ i ≤ 1 כלשהם כך שכל האיברים במערך בין 1 ל i בסדר עולה, כל האיברים בין i ל j בסדר יורד, וכל האיברים בין j ל n בסדר עולה. נקרא ל-i איבר הפסגה ול-j איבר העמק.
לכל בעיה ספקו חסם עליון ותחתון והוכיחו אותם.
בעיה א' - קלט: מערך. פלט: מחזיר TRUE אם"ם המערך הוא מערך זיגזג.
בעיה ב' - קלט: מערך זיגזג ומיקום איבר העמק. פלט: מיקום איבר הפסגה. 
בעיה ג' - קלט: מערך זיגזג. פלט: מיקום איבר הפסגה ואיבר העמק.</t>
  </si>
  <si>
    <t>א': חסם עליון ותחתון n.
ב': חסם עליון ותחתון logn. 
ג': חסם עליון ותחתון n.</t>
  </si>
  <si>
    <t>נתונים n קטעים על הישר (כלומר הקלט הוא n זוגות (x,y) של נקודות התחלה וסיום). קטע יקרא "מרכזי" אם יש לפחות n/4 קטעים שמתחילים לפניו (נקודת ההתחלה שלהם משמאל לנקודת ההתחלה שלו) וגם יש לפחות n/4 קטעים שמסתיימים אחריו (נקודת הסיום שלהם מימין לנקודת הסיום שלו). הציעו אלגוריתם שמחזיר את מספר הקטעים המרכזיים, בזמן ריצה W.C. הטוב ביותר שתוכלו, ונתחו את זמן הריצה שלו.</t>
  </si>
  <si>
    <t>אפשר להריץ  select על n/4 ב-x ו-3n/4 ב-y, ולפי זה לזהות קטעים מרכזיים. זמן ריצה לינארי במספר הקטעים.</t>
  </si>
  <si>
    <t>הציעו מבנה נתונים דינמי, המאפשר Insert(x,y) ו-Delete(x,y) של קטעים על הישר בזמן W.C. O(logn) וכן בפעולה IsCentric(x,y) שמקבלת קטע במבנה, ועונה האם הקטע הוא מרכזי, בזמן O(1) .W.C. (שימו-לב ש-deleteלא מקבלת מצביע לקטע, אלא את הקואורדינאטות שלו.)</t>
  </si>
  <si>
    <t>תאור המבנה: שני עצי-סדר סטטיסטי (עצי חופשי בינארי מאוזניים עם שדה size בצמתים). אחד לפי x והשני לפי y. מצביע לאיבר ה-n/4 ב-x ולאיבר ה-3n/4 ב-y.
מימוש פעולת insert וניתוח זמן ריצה: מכניסים לשני העצים ומבצעים select לעדכון המצביעים.
מימוש פעולת delete וניתוח זמן ריצה: מוחקים משני העצים ומבצעים select לעדכון המצביעים.
מימוש פעולת isCentric וניתוח זמן ריצה: בודקים את היחס לערכי x ו-y של המצביעים.</t>
  </si>
  <si>
    <t>הציעו מבנה נתונים דינמי, המאפשר Insert(x,y) ו-Delete(x,y) של קטעים (x,y) על הישר בזמן O(logn) בתוחלת, פעולת Find-Min(), המחזירה את הקטע הקצר ביותר בזמן קבוע, וזמן בנייה לינארי (כלומר, בהינתן n קטעים, ניתן לבנות את המבנה בזמן לינארי, כך שיכיל את כולם). ניתן להניח שכל הקטעים באורכים שונים (שימו-לב ש- delete לא מקבלת מצביע לקטע, אלא את הקואורדינאטות שלו.)</t>
  </si>
  <si>
    <t>תיאור מבנה נתונים: ערימת מינימום וטבלת האש עם מצביעים הדדיים. המפתח זה אורך הקטע.
מימוש פעולת Find-Min וניתוח זמן ריצה: להחזיר את את שורש הערימה (פעולת min של הערימה.)
מימוש פעולות delete insert, וניתוח זמן ריצה: בהכנסה מכניסים לערימה וגם לטבלה, ומעדכנים בטבלה מצביע למיקום בערימה. במחיקה מוצאים את המפתח בטבלת האש ולפי זה מקבלים מצביע ומוחקים בערימה. מוחקים גם מהטבלה. בהכנסה או מחיקה – אם מיקום השתנה צריך לעדכן את המצביע בטבלת האש.
מימוש תהליך הבנייה וניתוח זמן ריצה: בונים ערימה בינארית בזמן לינארי. מכניסים כל איבר לטבלת האש  chaining, לראש הרשימה, ומעדכנים באותו זמן את המצביע למיקום בערימה.</t>
  </si>
  <si>
    <t>נתון מבנה נתונים עם n מספרים וכן פרמטר k (k לא קבוע, אלא חלק מהקלט). רוצים למצוא את האיבר ה-k בגודלו ואת האיבר ה-(n-k) בגודלו.
מה יהיה זמן הריצה הטוב ביותר עבור ערימה בינארית, המיוצגת על-ידי מערך?
א. (1)O
O(log n) .ב
O(min(log n, k)) .ג
O(k + log n) .ד
O (k log n) .ה
O(n) .ו</t>
  </si>
  <si>
    <t>הכוונה היתה לעץ חיפוש מאוזן. מי שבחר (n(O וכתב בנימוק שזה בעץ לא מאוזן, קיבל גם ניקוד מלא</t>
  </si>
  <si>
    <t xml:space="preserve">נתון מערך עם מספרים וצריך למצוא את תת-מערך רצוף כלשהו המכיל לפחות איבר אחד, שסכום המספרים בו שווה ל0- בדיוק.
נתון שכל המספרים הם 1 או -1. מה זמן הריצה הטוב ביותר לפתרון הבעיה?
א. (1)O
O(log log n) .ב
O(log n) .ג
O(n) .ד
O(n log n) .ה
O(n^2) .ו </t>
  </si>
  <si>
    <t>עוברים על המערך עד שמוצאים שני איברים עוקבים שונים זה מזה. אם קיימים סכומם 0, אם לא אז לא קיים כזה רצף.</t>
  </si>
  <si>
    <t xml:space="preserve">נתון מערך עם מספרים וצריך למצוא את תת-מערך רצוף הארוך ביותר, שסכום המספרים בו שווה ל-0 בדיוק.
נתון שכל המספרים הם 1 או -1. מה זמן הריצה הטוב ביותר לפתרון הבעיה?
א. (1)O
O(log log n) .ב
O(log n) .ג
O(n) .ד
O(n log n) .ה
O(n^2) .ו </t>
  </si>
  <si>
    <t>רושמים מערך של סכומים חלקיים מהמיקום הראשון עד האחרון. ניתן למיין את הרשימה ב O(n) מאחר וכל הסכומים בין n- ל n. מחפשים זוג ברשימה הממוינת שהסכום החלקי שלו זהה, ועבורו הסכום בין שני האיברים הוא בדיוק 0. מחפשים את הזוג שהמרחק בין איבריו גדול ביותר.</t>
  </si>
  <si>
    <t>נתון מערך עם n מספרים.
תאר/י אלגוריתם בסיבוכיות O(n) שבודק האם יש איבר שמופיע לפחות n/8 פעמים במערך. הוכח/י את תשובתך.</t>
  </si>
  <si>
    <t>נבצע select על האיברים במקום n/9,  2n/9,  3n/9,  4n/9,  5n/9,  6n/9,  7n/9,  8n/9. כעת נעבור על המערך ונבדוק אם אחד מ – 8 המועמדים מופיע לפחות n/8 פעמים.</t>
  </si>
  <si>
    <t>נתון מערך עם n מספרים.
ב.	תאר/י אלגוריתם דטרמניסטי בסיבוכיות O(nlogn) שמחזיר את מספר האיברים השונים במערך. הוכח/י את תשובתך.</t>
  </si>
  <si>
    <t>נמיין את המערך ע"י merge sort. כעת נעבור על המערך הממויין ובכל פעם שניתקל באיבר ששונה מהאיבר שלפניו נגדיל מונה ב – 1.</t>
  </si>
  <si>
    <t>נתון מערך עם n מספרים.
ג.	תאר/י אלגוריתם בסיבוכיות O(n) בתוחלת שמחזיר את מספר האיברים השונים במערך. הוכח/י את תשובתך.</t>
  </si>
  <si>
    <t>נכניס את האיברים ל – hash table. בכל פעם שהאיבר שונה מהאיברים האחרים שהוכנסו (נכנס לתא ריק או נכנס לתא שכל האיברים ברשימה המקושרת שבו שונים ממנו) נגדיל מונה ב – 1.</t>
  </si>
  <si>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</si>
  <si>
    <t>נחזיק ערימת מינימום לכל קבוצה ובנוסף ערימת מינימום שבה יוחזקו ערך המינימום של כל אחת מהקבוצות Delete(j,A) ,CreateSet(j,arr) , Insert(j,A)  יעדכנו את ערימת המינימום של קבוצה s_j ואם איבר המינימום שלו התעדכן גם את ערימת המינימום של כל הקבוצות. FindMin(j) יחזיר את איבר המינימום מהערימה המתאימה לקבוצה s_j. FindMin() יחזיר את איבר המינימום מהערימה של כל הקבוצות.</t>
  </si>
  <si>
    <t>נתון אוסף של קבוצות s_1,s_2,…,s_m.
	תאר/י מבנה נתונים התומך בפעולות הבאות:
MakeItem(i)  A – צור את האיבר A שמחזיק את המספר i
Insert(j,A) – הכנס את האיבר A לקבוצה S_j (ניתן להניח שהקבוצה S_j קיימת).
Delete(j,A) – מחק את האיבר A מקבוצה S_j (ניתן להניח שהקבוצה S_j קיימת).
FindMin(j) – החזר את האיבר המינימלי בקבוצה S_j (ניתן להניח שהקבוצה S_j קיימת).
CreateSet(j,Arr) – בנה את הקבוצה j מתוך מערך לא ממויין של מספרים.
FindMin() – החזר את האיבר המינימלי מבין כל האיברים בקבוצות s_1,s_2,…,s_m.
FindMax(j) – החזר את האיבר המקסימלי בקבוצה S_j (ניתן להניח שהקבוצה S_j קיימת).
FindMax() – החזר את האיבר המקסימלי מבין כל האיברים בקבוצות s_1,s_2,…,s_m.
על כל הפעולות מלבד CreateSet לרוץ בסיבוכיות O(logn) כאשר n הוא מספר האיברים הכולל בקבוצות s_1,s_2,…,s_m. על CreateSet לרוץ בסיבוכיות ליניארית בגודל מערך הקלט.</t>
  </si>
  <si>
    <t>כמו בסעיף הקודם, אבל הערימות יהיו ערימת מקסימום-מינימום. כלומר האיברים יוחזקו הן בערימת מינימום והן בערימת מקסימום עם פוינטרים ביניהם.</t>
  </si>
  <si>
    <t>נתון אוסף של קבוצות s_1,s_2,…,s_m.
תאר/י מבנה נתונים התומך בפעולות הבאות:
MakeItem(i)  A – צור איבר A עם מפתח i
Insert(j,A) – הכנס את האיבר A לקבוצה S_j (ניתן להניח שהקבוצה S_j קיימת).
Delete(j,A) – מחק את האיבר A מקבוצה S_j (ניתן להניח שהקבוצה S_j קיימת).
Search(j,i) – מצא את האיבר עם מפתח i בקבוצה S_j (ניתן להניח שהקבוצה S_j קיימת).
FindMin() – החזר את האיבר המינימלי מבין כל האיברים בקבוצות s_1,s_2,…,s_m.
על כל הפעולות לרוץ בסיבוכיות O(logn) כאשר n הוא מספר האיברים הכולל בקבוצות s_1,s_2,…,s_m.</t>
  </si>
  <si>
    <t>נחזיק עץ אדום שחור לכל קבוצה עם פוינטר לאיבר המינימום שלו ובנוסף ערימת מינימום שבה יוחזקו ערך המינימום של כל אחת מהקבוצות.</t>
  </si>
  <si>
    <t>תאר/י מבנה נתונים שאיבריו הם זוגות של מפתחות (a,b) התומך בפעולות הבאות:
insert(a,b) – הוסף למבנה הנתונים את זוג המפתחות (a,b). ניתן להניח שהזוג מופיע במבנה הנתונים. על הפעולה להתבצע בזמן O(1) בתוחלת.
SearchAll(a) – החזר רשימה של כל זוגות המפתחות ש-a הוא המפתח השמאלי בהם. על הפעולה להתבצע בזמן O(1) בתוחלת.</t>
  </si>
  <si>
    <t>נממש את מבנה הנתונים ע"י hash על המפתח השמאלי a כאשר כל תא בטבלת ה-hash מחזיק רשימה של כל זוגות המפתחות ש-a הוא המפתח השמאלי שלהם. insert יכניס את האיבר לתחילת הרשימה ו-SearchAll יחזיר את כל הרשימה.</t>
  </si>
  <si>
    <t>הוסף/י למבנה הנתונים מהסעיף הקודם את הפעולות הבאות:
Delete(a,b) – מחק את זוג המפתחות (a,b) (אם קיים). על הפעולה להתבצע בזמן O(1) בתוחלת.
Search(a,b) – החזר את זוג המפתחות (a,b) אם קיים, אחרת החזר null. על הפעולה להתבצע בזמן O(1) בתוחלת.
שנה את פעולת Insert(a,b) כך שזוג המפתחות (a,b) יתווסף למבנה הנתונים רק אם הוא לא קיים בו. על הפעולות Insert(a,b), SearchAll(a) להתבצע בזמן O(1) בתוחלת.</t>
  </si>
  <si>
    <t>בנוסף למבנה הנתונים מהסעיף הקודם נחזיק hash על המפתח השמאלי a כשכל תא בטבלת ה-hash מחזיק טבלת hash נוספת על המפתחות הימניים b של הזוגות שמופו לתא.
בנוסף נחזיק פוינטרים בין 2 מבני הנתונים.
Insert יוודא שהאיבר לא קיים בטבלת ה-hash הנוספת, יכניס אותה לטבלת ה-hash ולרשימה בטבלת ה-hash הראשונה.
Delete ימומש בצורה דומה ל-insert.
Search יבדוק האם האיבר קיים בטבלת ה-hash הנוספת. SearchAll ימומש כמו בסעיף הקודם.</t>
  </si>
  <si>
    <t>נתונים n זוגות של מפתחות (a1,b1), (a2,b2),…, (an,bn), כך שכל מפתח ai וכל מפתח bj (עבור 1≤i,j≤n) הם מספרים שלמים מהתחום [1,10n]. תאר/י מבנה נתונים שניתן לבנות בזמן Worst case O(n) (בהינתן n זוגות המפתחות) ותומך בפעולה הבאה בזמן Worst case O(1):
SearchAll(a) – החזר רשימה של כל זוגות המפתחות ש-a הוא המפתח השמאלי בהם.</t>
  </si>
  <si>
    <t>נאתחל טבלה עם 10n תאים, כך שהתא ה – i חזיק רשימה של כל זוגות המפתחות ש – i הוא המפתח השמאלי שלהם.</t>
  </si>
  <si>
    <t>בהמשך לסעיף הקודם, הפעם נתון שכל המפתחות שלמים ומהתחום [1,n^3]. תאר/י מבנה נתונים שניתן לבנות אותו בזמן Worst case O(n) (בהינתן n זוגות המפתחות) ותומך בפעולה SearchAll בזמן Worst case O(log(n)).</t>
  </si>
  <si>
    <t>נמיין ע"י sort radix את כל הזוגות לפי המפתח השמאלי.
נאתחל מערך בגודל n כך שתא i במערך יחזיק רשימה של כל הזוגות שהמפתח השמאלי שלהם הוא האיבר ה – i בגודלו מבין המפתחות השמאליים.</t>
  </si>
  <si>
    <t>כעת בונים את העץ (מהשאלה הקודמת) על ידי בצוע N פעולות successor-insert של האיברים 1, 2, ..., N בסדר מהקטן לגדול. בחרי את התשובה הנכונה ביותר (בין זמנים שונים יש לבחור את הנכון ההדוק ביותר).
א. זמן בניית העץ הינו O(n log n).
ב. זמן בניית העץ הינו O(n).
ג. זמן בניית העץ הינו O(n^2).
ד. עלות פעולת successor-insert אחת היא O(n) אבל הזמן הכולל הינו O(n log n).
נימוק קצר (חובה):</t>
  </si>
  <si>
    <t>חיפושים לא עולים, תיקונים אמורטייזד n.</t>
  </si>
  <si>
    <t>נתונים n מספרים שלמים שרירותיים שונים זה מזה בתוך מערך (בגודל n). לגבי √n המספרים הראשונים ידוע שמספר הזוגות שנמצאים בסדר יחסי הפוך הינו I = n/5. לגבי √n המספרים האחרונים ידוע שמספר הזוגות שנמצאים בסדר יחסי הפוך הינו I = n/5. ידוע שכל n-2√n המספרים "במרכז" נמצאים במקומותיהם.
רוצים למיין את המערך וניתן להשתמש בזיכרון עזר. 
בחר את התשובה הנכונה ביותר (בין זמנים שונים יש לבחור את הנכון ההדוק ביותר).
א. חסם תחתון על זמן המיון של המערך הינו Ω(n log n).
ב. ניתן למיין את המערך בזמן O(n log n).
ג. ניתן למיין את המערך בזמן O(√n log n).
ד. חסם תחתון על זמן המיון של המערך הינו Ω(n).
ה. ניתן למיין את המערך בזמן O(n + (n log(I/n)+n)).
נימוק קצר (חובה):</t>
  </si>
  <si>
    <t>מיון בצד</t>
  </si>
  <si>
    <t>תאר/י מבנה נתונים שאיבריו הם זוגות של מפתחות (a,b) כך שכל מפתח שמאלי בזוג הוא מספר שלם שייך לתחום [1,10n]. ניתן להניח שכל זוגות המפתחות שונים זה מזה. על מבנה הנתונים לתמוך בפעולות הבאות (כאשר n הוא מספר זוגות המפתחות שנמצאים כרגע במבנה הנתונים):
Insert(a,b) – הוסף למבנה הנתונים את זוג המפתחות (a,b). על הפעולה להתבצע בזמן אמורטייזד של O(1).
IncreaseKey((a,b),x) – הפקודה מקבלת מצביע לזוג מפתחות (a,b) שנמצא במבנה הנתונים ומספר חיובי x ומגדילה את המפתח הימני ב-x. על הפעולה להתבצע בזמן אמורטייזד של O(1).
Delete((a,b)) - הפקודה מקבלת מצביע לזוג מפתחות (a,b) שנמצא במבנה הנתונים ומוחקת אותו. על הפעולה להתבצע בזמן אמורטייזד של O(logn).</t>
  </si>
  <si>
    <t>נממש ע"י מערך כשכל תא מצביע לערימת מקסימום. בכל הפעולות ניגש לתא ה-a במערך ונפעיל את הפקודה המתאימה בערימה עם מפתח b.</t>
  </si>
  <si>
    <t>תאר/י מבנה נתונים שאיבריו הם זוגות של מפתחות (a,b) התומך בפעולות הבאות (כאשר n הוא מספר זוגות המפתחות שנמצאים כרגע במבנה הנתונים וניתן להניח שכל זוגות המפתחות שונים זה מזה):
Insert(a,b) – הוסף למבנה הנתונים את זוג המפתחות (a,b). על הפעולה להתבצע בזמן O(logn).
Delete(a,b) – מחק את זוג המפתחות (a,b). על הפעולה להתבצע בזמן O(logn).
Search(a,b) – החזר את זוג המפתחות (a,b) אם קיים, אחרת החזר null. על הפעולה להתבצע בזמן O(logn).
successor(a,b) – החזר את (a,b*) כך ש-b* מוגדר באופן הבא: יהיו b1,b2,b3,…,bm כל המפתחות כך שהזוג (a,bi) נמצא במבנה הנתונים (עבור 1≤i≤m) ממויינים מהקטן לגדול. אזי b* הוא המפתח שנמצא מימינו של b ברשימה הממויינת. במידה ואין מפתח מימינו של b ברשימה הממויינת החזר null. על הפעולה להתבצע בזמן O(logn).</t>
  </si>
  <si>
    <t>נממש ע"י עץ אדום שחור שכל צומת בו מצביע לעץ אדום שחור. בכל הפעולות נחפש על העץ הראשי לפי a ועל העץ המשני (עץ שמוצבע מצומת בעץ הראשי) לפי b.</t>
  </si>
  <si>
    <t>הוכיח/י שמספר הפיצולים בפעולת insert בעצי 2-4 היא אמורטייזד O(1), כאשר ניתן לבצע פעולות insert בלבד.</t>
  </si>
  <si>
    <t>נשתמש בפונקציית פוטנציאל שסופרת את מספר הצמתים עם 3 מפתחות. המקרה הכללי הוא שהכנסה גורמת ל-k פיצולים ולאחר מכן לצומת שכמות המפתחות בו גדלה מ-2 ל-3. במקרה זה ה-actual time = k+1 והפרש הפוטנציאל הוא 1-k ולכן amortized time = 2.</t>
  </si>
  <si>
    <t>תאר/י מבנה נתונים התומך בפעולות הבאות (כאשר n הוא מספר המפתחות שנמצאים כרגע במבנה הנתונים וניתן להניח שכל המפתחות שונים זה מזה):
Insert(a) – הוסף למבנה הנתונים את המפתח a. על הפעולה להתבצע בזמן O(logn).
Delete(a) – מחק את המפתח a. על הפעולה להתבצע בזמן O(logn).
Search(a) – החזר את המפתח a אם קיים, אחרת החזר null. על הפעולה להתבצע בזמן O(logn).
Sum(a) – החזר את סכום כל המפתחות שקטנים מ-a. ניתן להניח ש-a קיים במבנה הנתונים. על הפעולה להתבצע בזמן O(logn).</t>
  </si>
  <si>
    <t>נממש ע"י עץ אדום שחור שבו כל צומת שומר את סכום המפתחות של תת העץ שהוא שורשו. פעולת Sum תתבצע ע"י ירידה מהשורש ל-a וסכימת שדות הסכום של כל הבנים השמאליים של הצמתים לאורך המסלול ביחד עם שדה הסכום של a.</t>
  </si>
  <si>
    <t>נתון מערך A של N מספרים חיוביים שלמים שונים אחד מהשני. רוצים לממש את הפונקציה Anagram(z) שמקבלת כקלט מספר חיובי שלם Z ומחזירה רשימה מקושרת של המספרים במערך A שיכולים להתקבל מתוך Z ע"י שינוי סדר הספרות של Z.
למשל, עבור המערך A:
81 18 11 101 201 718 102 1993 781 178
הקריאה Anagram(781) תחזיר רשימה עם האיברים: 178, 781, 718. הקריאה Anagram(110) תחזיר רשימה עם האיבר: 101.
הניחו כי "אורך" המספר (מס' הספרות בייצוג העשרוני של המספר) של כל איבר במערך A וכן של הקלט Z הוא לכל היותר L.
הציעו אלגוריתם שפותר את הבעיה ונתחו את זמן הריצה שלו. מותר להשתמש ב-preprocessing בסיבוכיות O(NL) בתוחלת, ולאחריו על קריאה ל-Anagram לקחת זמן ריצה של O(L) בתוחלת. פתרונות בזמן גרועים יותר יקבלו ניקוד נמוך יותר.
פתרון שלב ה pre-processing - מה הסיבוכיות?
הסבר הפתרון וניתוח הסיבוכיות:
קריאה ל anagram - מה הסיבוכיות?
הסבר הפתרון וניתוח הסיבוכיות:</t>
  </si>
  <si>
    <t>ל-pre-processing:
תיקח k[x] ממוינות בסדר עולה. מציאת x, שהוא המספר המתקבל מספרות k[x] נתאים מפתח, לכל איבר x במערך A בעזרת quick-sort לאיבר, O(L) ו-O(NL) סה"כ.
כעת, נכניס את איברי A לטבלת האש לפי המפתח k[x] של כל איבר, כאשר המפתח שלו כבר קיים בטבלה, נשרשר את x ברשימה מקושרת המתאימה למפתח עם מפתח זה (בכל תא יש רשימה של רשימות, אחת של המפתחות ומטפלת בהתנגשויות, וכל מפתח מחזיק רשימה נוספת משלו עם כל איברי A עם מפתח זה).
לקריאה Anagram(Z):
נמיין את ספרות Z ונחפש את k[Z] בטבלת ההאש, ונסמן את מה שהתקבל כ-k[Z]. החיפוש ייקח O(L) ונחזיר את הרשימה שמחזיק מפתח זה.
במקרה זה ניתן להשתמש בעץ חיפוש במקום טבלה, אבל זמן שאילתה ייקח O(L+logN).</t>
  </si>
  <si>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א. אם כל העלים נמצאים באותו מרחק מהשורש, אז בהכרח קיימת צביעה כזאת. נכון / לא נכון.</t>
  </si>
  <si>
    <t>נימוק: במקרה זה מדובר בעצם שלם. צביעת כל הצמתים בשחור, היא צביעה חוקית.</t>
  </si>
  <si>
    <t>אנחנו רוצים לצבוע את הצמתים של עץ חיפוש בינארי מלא (כלומר, לכל צומת שאינו עלה יש בדיוק שני בנים) באדום ובשחור, כך שהצביעה תקיים את הכללים של עץ אדום-שחור.
כתב/י עבור כל אחת מהטענות הבאות האם היא נכונה או לא נכונה. נמק/י את תשובתך.
ג. אם עומק תת-העץ הימני של השורש הוא לכל היותר פי שניים מעומק תת-העץ השמאלי של השורש. נכון / לא נכון</t>
  </si>
  <si>
    <t>נימוק: יכול להיות תת עץ שמאלי גדול מאוד, ואז לא נוכל לדאוג לכך שהגובה השחור יהיה זהה בכל המסלולים.</t>
  </si>
  <si>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א. מהי הסיבוכיות case worst של בנית המבנה (שורה 2 בתמונה) אם Q ממומש באמצעות finger tree?
בכל התשובות עליכם לבחור בין האפשרויות:
1) O(log n)
2) O(n)
3) O(n log n)
4) O(n^2)
5) תשובה אחרת</t>
  </si>
  <si>
    <t>בנייה היא לינארית כי אפשר להכניס תמיד את המינימום מימין . עלות מציאה .1 עלות תיקונים כוללת O(n)</t>
  </si>
  <si>
    <t>סטודנט התבקש להריץ את אלגוריתם האפמן. כדי להקל עליו נתנו לו את רשימת האותיות ממויינת לפי המשקל (ההסתברות) שלהן (בתוך מערך או רשימה מקושרת לפי נוחיותכם.)
לאור ההקלה הסטודנט שוקל באיזה מבנה נתונים יוכל לממש את תור העדיפויות Q של האלגוריתם ביעילות מירבית ומה תהיה סיבוכיות זמן הריצה הכוללת (case worst) שתנבע מהמימוש. תזכורת לאלגוריתם שניתן בכיתה נתונה משמאל כשהביטוי C ← Q אומר שאתם מכניסים את המשקולות לתוך המבנה Q בצורה הכי יעילה שניתן.
Huffman(C)
1.	n ← |C|
2.	Q ← C
3.	for i ← 1 to n-1; do new(z); left(z) ← x ← delete-min(Q); right(z) ← y ← delete-min(Q); f(z) ← f(x) + f(y); insert(z,Q) 
return delete-min(Q)
ענו נכון / לא נכון על השאלות הבאות ונמקו:
ב. מהי סיבוכיות case worst של עדכון המבנה (בצוע הלולאה בשורה 3 מ-1 ועד n-1) אם Q ממומש באמצעות finger tree?
בכל התשובות עליכם לבחור בין האפשרויות:
1) O(log n)
2) O(n)
3) O(n log n)
4) O(n^2)
5) תשובה אחרת</t>
  </si>
  <si>
    <t>הכנסות הן שרירותיות ולכן מציאת האיברים להכנסה עולה nlogn. 
n/2 ההכנסות הראשונות ישלמו logn.</t>
  </si>
  <si>
    <t>שני הסעיפים בשאלה זו מתייחסים לטבלאות hash עם probing linear.
א. הוכיחו או הפריכו:
הטבלה T1 המתקבלת לאחר ביצוע Insert(x) ואז Insert(y) מטבלה T
זהה לטבלה T2 המתקבלת לאחר ביצוע Insert(y) ואז Insert(x) מטבלה T.</t>
  </si>
  <si>
    <t>נפריך את הטענה.
אם T טבלה ריקה ועבור פונק׳ ה-hash שלנו מתקיים, למשל, h(x) = h(y) = 0, אז נקבל ש-T1 היא x-y-etc בעוד ש-T2 היא y-x-etc.
כפי שניתן לראות, קיבלנו טבלאות שונות כאשר סדר ההכנסה שונה.</t>
  </si>
  <si>
    <t>שני הסעיפים בשאלה זו מתייחסים לטבלאות hash עם probing linear.
ב. הוכיחו או הפריכו:
הטבלה S1 המתקבלת לאחר ביצוע Delete(x) ואז Delete(y) מטבלה S
זהה לטבלה S2 המתקבלת לאחר ביצוע Delete(y) ואז Delete(x) מטבלה S.</t>
  </si>
  <si>
    <t>נוכיח את הטענה.
כאשר מוחקים איבר בטבלה המשתמשת ב-probing linear מבצעים חיפוש האם יש איבר אחר שהיה אמור "לתפוס" את המקום של האיבר שנמחק אילולא היינו מכניסים מראש את האיבר שנמחק. ראינו בכיתה שמחיקת איבר מביאה את הטבלה למצב כאילו מעולם לא הכנסנו את האיבר הזה לטבלה.
לכן, מחיקה בסדר delete(x) -&gt; delete(y) כמו גם מחיקה בסדר delete(y) -&gt; delete(x) מביאים את הטבלה למצב כאילו מעולם לא הכנסנו את x או y, כלומר S2 = S1.</t>
  </si>
  <si>
    <t>ממשו מבנה נתונים מסוג מילון התומך בפעולות הבאות:
• Insert(k,e) – הכנסת איבר חדש e עם מפתח k (ניתן להניח שלא קיים כבר במבנה איבר אחר עם מפתח זה.)
• Search(k) ← e – מציאת איבר במבנה עם מפתח k, אם קיים כזה (אחרת מוחזר null.)
• DeleteBetween(a,b) – מחיקת כל האיברים הקיימים במבנה שהמפתח שלהם k נמצא בטווח a ≤ k &lt; b.
על כל פעולה לרוץ בזמן O(log n).</t>
  </si>
  <si>
    <t>נשתמש בעץ אדום-שחור שתומך בפעולות Insert, Search, Split, Join בזמן O(log n) לכל אחת.
מימוש DeleteBetween:
1. נבצע פיצול ואז T&lt;a, T≥a ← Split(T, a) כאשר T&lt;a הוא עץ א"ש שבו כל האיברים קטנים מ-a, ו-T≥a עץ א"ש שבו כל האיברים שווים ל-a או גדולים ממנו.
2. כעת נבצע פיצול נוסף T[a,b], T≥b ← Split(T≥a, b) כאשר T[a,b] הוא עץ א"ש שבו האיברים שקטנים מ-b וגדולים שווים ל-a-1, ו-T≥b עץ א"ש שבו האיברים שגדולים שווים ל-b.
3. לסיום, נבצע איחוד T ← Join(T&lt;a, T≥b) ונחזיר את העץ שבו כל האיברים פרט לאלו שבין a ל-b.
יש כאן מספר קבוע של פעולות עץ א"ש בגודל O(log n).</t>
  </si>
  <si>
    <t>א. נתונים 𝑚 מוצרים שונים (ממוספרים מ-1 עד 𝑚). המכרז פתוח 𝑚 ימים ובמהלכם 𝑛 אנשים מגישים הצעות לקניה (כל הצעה עבור מוצר אחד). בסוף כל יום יימכר המוצר שהוגשה עליו ההצעה הגבוהה ביותר מבין כל המוצרים שטרם נמכרו.
התבקשתם לממש מבנה נתונים עבור המכרז התומך בפקודות הבאות:
• Init(m) – אתחול המבנה עם 𝑚 מוצרים וללא הצעות.
• Bid(j,p) – הוספת הצעה במחיר 𝑝 למוצר 𝑗. על הפקודה לרוץ בזמן 𝑂(1) .amortized
• Sell() ← j,p – מכירת המוצר שקיבל את ההצעה הגבוהה ביותר (ניתן להניח שקיימת לפחות הצעה אחת על הפרק). הפקודה מחזירה את המוצר 𝑗 שנמכר ואת המחיר 𝑝 ששולם עליו; שאר ההצעות למוצר זה בטלות. על הפקודה לרוץ בזמן 𝑂(log 𝑚) .amortized</t>
  </si>
  <si>
    <t>נשים לב שאין צורך לשמור את כל n ההצעות אלא רק את ההצעה הגבוהה ביותר לכל מוצר. נשמור בערימת מקסימום H מסוג פיבונאצ'י את ההצעה הגבוהה ביותר למוצר j (מפתח=המחיר p, ערך=מספר המוצר j). בנוסף, נחזיק מערך של m מצביעים לתוך H (במקום j מצביע להצעה עבור מוצר j).
Init: נבנה ערימה ריקה H, נכניס לתוכה הצעה במחיר אפס עבור כל אחד מהמוצרים ונשמור את המצביעים במערך.
Bid: אם p גדול מההצעה הנוכחית למוצר j (אותה נמצא בזמן קבוע באמצעות המצביע), אז נבצע Increase-Key ב-H למוצר זה ואחרת נתעלם (מניחים כאן שהמוצר טרם נמכר). בערימת פיבונאצ'י זה עולה 𝑂(1) .amortized
Sell: נבצע Delete-Max ל-H ונחזיר את המוצר j ומחירו p. יש ב-H לכל היותר m הצעות ולכן זה עולה 𝑂(log 𝑚) .amortized</t>
  </si>
  <si>
    <t>ב. נתונים 𝑚 סוגי מוצרים שונים (ממוספרים מ- 1 עד 𝑚), כאשר מכל סוג יש כמות בלתי-מוגבלת של מוצרים. המכרז פתוח 𝑚 ימים ובמהלכם 𝑛 אנשים מגישים הצעות לקניה (כל הצעה עבור יחידת מוצר אחת). בסוף כל יום יימכר זוג מוצרים מסוגים שונים שהוגשו עליהם ההצעות הגבוהות ביותר.
התבקשתם לממש מבנה נתונים עבור המכרז התומך בפקודות הבאות:
• Init(m) – אתחול המבנה עם 𝑚 סוגי מוצרים וללא הצעות.
• Bid(j,p) – הוספת הצעה במחיר 𝑝 למוצר מסוג 𝑗. על הפקודה לרוץ בזמן 𝑂(1) .amortized
• Sell() ← j1,p1,j2,p2 – מכירה של יחידת מוצר אחת מכ"א משני הסוגים שקיבלו את ההצעה הגבוהה ביותר (ניתן להניח שקיימות לפחות שתי הצעות על הפרק). הפקודה מחזירה את סוגי המוצרים 𝑗1, 𝑗2 שנמכרו ואת המחירים 𝑝1, 𝑝2 ששולמו עליהם בהתאמה. על הפקודה לרוץ בזמן 𝑂(log 𝑛) .amortized</t>
  </si>
  <si>
    <t>כאן חייבים לשמור את כל ההצעות כי אותו סוג מוצר יכול להימכר מספר פעמים בימים שונים. בנוסף לערימה H ולמערך המצביעים כמו בסעיף א', יהיה לנו מערך של m ערימות מקסימום (בינומית עצלה או פיבונאצ'י). Hj תכיל את כל ההצעות העומדות לסוג מוצר j. הערימה H תכיל את ראשי כל הערימות Hj, כלומר את ההצעה הטובה ביותר לכל סוג.
:Init לכל j נבנה ערימה ריקה Hj ונכניס לתוכה הצעת אפס. נבנה את H מראשי הערימות ונשמור מצביעים במערך.
:Bid נבצע Insert של p לערימה Hj. אם המקסימום שלה השתנה (ובפרט הוא גדל) אז נבצע Increase-Key כמו בסעיף א' כדי לעדכן את ההצעה הטובה ביותר לסוג מוצר j בתוך H. סה"כ 𝑂(1) amortized עבור שתי הפעולות.
:Sell נבצע פעמיים Delete-Max על H כדי לזהות את שני סוגי המוצרים j1, j2, ואת ההצעות הטובות ביותר p1, p2, בהתאמה. נבצע Delete-Max גם בשתי הערימות Hj1 ו-Hj2 כדי להסיר את ההצעות הללו ונכניס ל-H את שני ראשי הערימות החדשים, שהם ההצעות הבאות בתור לסוגי מוצרים אלו. נעדכן את מערך המצביעים.
סה"כ זמן ריצה: 𝑂(log 𝑛) = 𝑂(log 𝑚) + 𝑂(log 𝑛) amortized, כי מהנתון 2𝑚 ≥ 𝑛 וכן ב-H לכל היותר m איברים ובכל Hj לכל היותר n.</t>
  </si>
  <si>
    <t>נאמר ששתי מחרוזות הן -𝑘 חופפות אם רישא באורך 𝑘 של אחת הוא סיפא של השנייה. תארו אלגוריתם שמקבל שתי מחרוזות 𝑠 ו- 𝑡 באורכים 𝑛 ו- 𝑚 בהתאמה ומחשב את החפיפה המקסימלית ביניהן בסיבוכיות הטובה ביותר.
דוגמא: עבור המחרוזות UKULELE ו- ELEPHANT התשובה היא .3</t>
  </si>
  <si>
    <t>סיבוכיות: 𝑛) + O(
נראה כיצד לחשב חפיפה מקסימלית בין סיפא של s לרישא של ;t יש לבצע אותה פעולה בהיפוך תפקידים ולהחזיר את המקסימום ביניהן.
נבנה עץ סיפות T עבור s בזמן .O(𝑛) כעת נחפש את t ב-T ע"י כך שנתחיל מהשורש ונצעד לאורך קשתות כל עוד יש התאמה בין תווי t לתת-המחרוזת שרשומה על הקשת (זה בעצם חיפוש של t בתוך ה-Trie הלא דחוס.)
בכל ביקור בצומת x שיש לו בן עלה y ועל הקשת xy רשום רק הסימן $ נעדכן את k להיות מספר התווים מ-t שקראנו עד כה (כי מצאנו חפיפה בין רישא של t לסיפא של .)s
אם הגענו לסוף t באמצע קשת והתו היחיד שנשאר על הקשת ולא סרקנו הוא $ אז נעדכן את k להיות .m
הסריקה לוקחת m צעדים ולכן סה"כ זמן הריצה 𝑛) + .O(
הערה: ניתן לקבל זמן ריצה 𝑛)) O(min(𝑚, אם נעבוד עם רישא של t וסיפא של s באורך 𝑛) .min(𝑚,</t>
  </si>
  <si>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א. תארו אלגוריתם רנדומי המוצא לכל בורג את האום המתאים ורץ בזמן 𝑛) log 𝑂(𝑛 בתוחלת.</t>
  </si>
  <si>
    <t>האלגוריתם שנתאר הוא וריאציה על Quick Sort.
נבחר אום אקראי x, נבצע partition לברגים לפי x. כעת מצאנו את הברגים הגדולים מהאום, הקטנים ממנו ואת הבורג השווה לו y. נבצע partition לאומים לפי y. כעת נמשיך בצורה רקורסיבית על קבוצת הברגים הגדולים מ-x והאומים הגדולים מ-y, ועל קבוצת הברגים הקטנים מ-x והאומים הקטנים מ-y. 
הרקורסיה מסתיימת כשנגיע ל-n=1.
זמן הריצה לקריאות הרקורסיביות יהיה T(k-1) + T(n-k). כיוון ש-x נבחר באקראי, תוחלת זמן הריצה היא E[T(n)] = (1/n) Σ(k=1 to n) [E(T(k-1)) + E(T(n-k))], וכפי שראינו עבור Quick Sort הפתרון למשוואה הוא E[T(n)] = O(n log n).</t>
  </si>
  <si>
    <t>נתונים 𝑛 ברגים ו- 𝑛 אומים. לכל בורג קוטר ייחודי (כלומר ניתן להניח שערכי הקוטר של הברגים שונים זה מזה.) כמו כן לכל בורג קיים אום באותו הקוטר. ניתן להשוות בורג לאום (השוואה כזו מחזירה גדול, קטן או שווה,) אולם לא ניתן להשוות בורג לבורג או אום לאום.
ב. תארו אלגוריתם לינארי המוצא לכל בורג את האום המתאים או הוכיחו שלא קיים כזה.</t>
  </si>
  <si>
    <t>נוכיח שכל אלגוריתם לבעיה רץ בזמן Ω(n log n).
יש n! אפשרויות להתאים בין הברגים לאומים. תוצאת כל השוואה היא אחת מ-3 אפשרויות ולכן עץ ההשוואות של האלגוריתם הוא עץ טרינרי. על מנת שיהיו לעץ n! עלים שונים, גובהו (המקסימלי וגם הממוצע) חייב להיות לפחות Ω(n log n) = log3(n!).
הערה: לא ניתן להוכיח זאת ע"י הסתמכות על החסם התחתון של מיון שראינו בכיתה מאחר ובשאלה לא ביקשו למיין את הברגים ואומים לפי קוטר.
גם דוגמא עם מערך אומים ממויין ומערך ברגים לא ממויין אינה מוכיחה חסם תחתון של Ω(n log n) שכן ההתאמה יכולה להתבצע כך שהתוצאה לא תהיה ממויינת ובנוסף זו אינה דוגמא כללית למיון – העובדה שיש מערך ממויין מוסיפה הרבה אינפורמציה על הקלט.</t>
  </si>
  <si>
    <t>במחשב נמצאים מספר רב של דפים על הדיסק. למחשב מגיע זרם של בקשות לדפים השונים. כדי לאפשר גישה מהירה לדפים, לרשותנו זכרון מטמון בגודל 𝑛 דפים ובו אנו שומרים את הדפים הטריים ביותר, כלומר אלו שנתבקשו לאחרונה (מודל LRU).
דוגמא: נניח 𝑛 = 4. לאחר זרם הבקשות 6,5,9,4,5,4,7 יכיל ה-cache את הדפים 7,4,5,9 כאשר 7 הוא הטרי ביותר ו-9 הוא העבש ביותר. אם הבקשה הבאה היא לדף 3 אז 9 יפונה מה-cache.
עליכם לממש מבנה נתונים לשמירת ה-cache התומך בפקודות הבאות:
• Init(n) – אתחול המבנה עם 𝑛 מקומות לדפים וללא בקשות.
• Access(x) – גישה לדף 𝑥. אם הדף 𝑥 כבר נמצא במבנה, המבנה מעודכן כך ש-𝑥 הופך לטרי ביותר; אחרת, יש להכניס את 𝑥 כדף הטרי ביותר ולפנות את הדף העבש ביותר (אם צריך). על הפקודה לרוץ בזמן 𝑂(1) בתוחלת.</t>
  </si>
  <si>
    <t>נשמור את מספרי הדפים שב-cache בתור (רשימה מקושרת ממוינת לפי טריות – הטרי ביותר בסוף התור) עם שדה אורך וכן נשמור טבלת hash שממפה כל דף x שנמצא ב-cache ל-node list שלו בתור.
:Init נאתחל טבלת hash ריקה באורך 2n ותור ריק.
:Access אם x מופיע ב-hash, נמחק אותו ממיקומו הנוכחי בתור (ע"י המצביע) ונכניס אותו לזנב התור. אם x לא מופיע ב-hash ניצור עבורו node list שנכניס לסוף התור ונשמור את x בטבלת ה-hash יחד עם המצביע ל-node.
אם אורך התור עלה ל-n+1 אז נמחק את הדף y שכעת בראש התור גם מהתור וגם מה-hash.
השתמשנו במספר קבוע של פעולות בטבלת ה-hash (כ"א 𝑂(1) בתוחלת) ובתור (כ"א 𝑂(1) כי ניגשנו לראש, לזנב או באמצעות מצביע.)</t>
  </si>
  <si>
    <t>נתון מערך המכיל n איברים. מספר האיברים השונים הוא k (𝑛 ≤ 𝑘).
א. מיינו ללא הסבר את סדרי הגודל הבאים אסימפטוטית (𝑛 ≤ 𝑘):
nlogn, n, nlogk, n+klogk, n^2</t>
  </si>
  <si>
    <t>n^2, nlogn, nlogk, n+klogk,n</t>
  </si>
  <si>
    <t>נתון מערך המכיל n איברים. מספר האיברים השונים הוא k (𝑛 ≤ 𝑘).
ב. הציעו אלגוריתם דטרמיניסטי למיון המערך.</t>
  </si>
  <si>
    <t>נבנה עץ מאוזן כאשר בכל צומת נשמור מונה. נכניס את כל האיברים לעץ, וכאשר נתקל באיבר קיים, נגדיל ב-1 את המונה הרלוונטי. נעבור על העץ in-order ונפלוט כל איבר כמספר הפעמים שמופיע במונה שלו. הסיבוכיות היא O(nlogk).</t>
  </si>
  <si>
    <t>נתון מערך המכיל n איברים. מספר האיברים השונים הוא k (k ≤ n).
ג. הציעו אלגוריתם המשתמש ברנדומיזציה למיון המערך.</t>
  </si>
  <si>
    <t xml:space="preserve">נבנה טבלת hash כאשר בכל תא נשמור מונה. נכניס את כל האיברים לטבלה, וכאשר נתקל באיבר קיים, נגדיל ב-1 את המונה הרלוונטי. נמיין את המפתחות, נעבור על הטבלה ונפלוט כל איבר כמספר הפעמים שמופיע במונה שלו. הסיבוכיות היא O(n + klogk) בתוחלת.
</t>
  </si>
  <si>
    <t xml:space="preserve">נתון מערך המכיל n איברים. מספר האיברים השונים הוא k (k ≤ n).
ד. נניח כי האיברים הם מספרים שלמים בין 1 ל-n^4. הציעו אלגוריתם דטרמיניסטי למיון המערך.
</t>
  </si>
  <si>
    <t>נשתמש באלגוריתם count sort כפי שנלמד בכיתה. O(n).</t>
  </si>
  <si>
    <t xml:space="preserve">נתון מערך המכיל n איברים. מספר האיברים השונים הוא k (k ≤ n).
ה. נניח כי כשלב ראשון נתונים k האיברים השונים, וניתן לבצע עליהם עיבוד מוקדם לא מוגבל בזמן. הציעו אלגוריתם לעיבוד המוקדם וכן אלגוריתם למיון דטרמיניסטי יעיל של המערך באורך n.
</t>
  </si>
  <si>
    <t>חלק ראשון: נמיין את k האיברים השונים ונבנה Perfect Hash מהערך של האיבר למיקום שלו במערך הממויין. הסיבוכיות תהיה O(klogk) בתוחלת.
חלק שני: נמיין את המערך עם הטבלה שבנינו בעזרת count sort. O(n).</t>
  </si>
  <si>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א. תארו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t>
  </si>
  <si>
    <t>נשתמש בעץ בינארי מאוזן בעל שדות עזר שמתעדכן בכל פעולת insert/delete: מצביעים לאיברים המינימלי והמקסימלי (נמצא אותם ע"י הליכה רק שמאלה או ימינה מהשורש עד לעלה), מצביע לאיבר המינימלי הגדול או שווה מהממוצע, מספר האיברים בעץ וסכום האיברים בעץ. 
על מנת לתחזק את המצביע לאיבר הממוצע, בעת הכנסה נעדכן השדות של מספר האיברים וסכומים, נחשב הממוצע ונמצא באמצעות חיפוש את האיבר הכי קרוב אליו מלמעלה. בדומה עבור פעולת delete. 
בעת קריאה ל-Min/Max/AVG נחזיר את האיבר לפי המצביע המתאים.</t>
  </si>
  <si>
    <t>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ב. תארו מבנה נתונים התומך בנוסף בפעולה הבאה:
• Stat(k) – החזרת האיבר ה-k בדרגתו ב-S בזמן O(logk)</t>
  </si>
  <si>
    <t>נשמור בכל צומת את גודל תת-העץ הרלוונטי. בעת קריאה ל-Stat נעלה בעץ מאיבר המינימום עד שנגיע לצומת שגודל תת העץ שלה הינו לפחות k. נבצע חיפוש רקורסיבי בתת-עץ הנ״ל כלפי מטה. בכל שלב נחשב את דרגת הצומת ע"י גודל תת העץ השמאלי ועוד 1. ע"י השוואה ל-k נדע אם סיימנו או שנמשיך לתת-העץ הימני/שמאלי. העץ מאוזן, לכן גובהו של תת העץ המינימלי מגדול לפחות k הינו O(logk) וזהו זמן הריצה.</t>
  </si>
  <si>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כעת נניח כי נתון מראש פרמטר קבוע a&gt;=1.
ג. תארו מבנה נתונים התומך בנוסף בפעולה הבאה:
• Stat() – החזרת האיבר ה-⌈NA⌉ בדרגתו מ-S בזמן O(1)
</t>
  </si>
  <si>
    <t>נתחזק מצביע לאיבר בעל הדרגה הנ"ל בכל הכנסה/מחיקה ע"י הפעולה מסעיף ב'.</t>
  </si>
  <si>
    <t xml:space="preserve">נתונה קבוצה סדורה S. נגדיר דרגה של איבר בקבוצה מסוימת כמקום הופעתו במערך ממוין של האיברים (כל האיברים בעלי ערכים שונים). לאורך השאלה ח מסמן את מספר האיברים הנוכחי במבנה הנתונים המבוקש.
בסעיף א׳, תיארנו מבנה נתונים התומך בפעולות הבאות:
• Init() – אתחול המבנה בזמן O(1).
• Insert(x) – הכנסת האיבר x ל-S בזמן O(logn).
• Delete(x) – מחיקת האיבר x מ-S בזמן O(logn).
• Min() – החזרת האיבר בעל הדרגה המינימלית בגודלו בזמן O(1).
• Max() – החזרת האיבר בעל הדרגה מקסימלית בגודלו בזמן O(1).
• AVG() – החזרת האיבר בעל הדרגה המינימלית שערכו גדול או שווה לממוצע האיברים במבנה בזמן O(1).
ד. תארו מבנה נתונים התומך בנוסף בפעולה הבאה:
• StatPlus(i) – החזרת האיבר ה-⌈NA⌉ + i בדרגתו בזמן O(log i) (i הינו אי-שלילי עבור ⌈NA⌉ + i &lt; n + 1 ואינו ידוע מראש).
</t>
  </si>
  <si>
    <t>נתחזק שני עצים מאוזנים – הראשון לאיברים הקטנים ממש מהאיבר ה-⌈NA⌉ בדרגתו והשני ליתר. בעת הכנסה או מחיקה נשים לב אם צריך להעביר איברים בין העצים (לא יותר ממספר קבוע של איברים בכל פעולה). נתחזק מצביע למינימום של העץ השני.
בעת קריאה ל-StatPlus נבצע חיפוש דומה לסעיף ב' שיתחיל במינימום של העץ השני. הסיבוכיות לפי סעיף ב' הינה O(log i).</t>
  </si>
  <si>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א. ידוע שקיים איבר שחוזר לפחות 𝐿 פעמים. בסעיף זה ניתן להשתמש ברנדומיות.
</t>
  </si>
  <si>
    <t>נתחזק טבלת Hash בה ה-key הוא המספר והערך הינו מונה. נעבור על מערך הקלט ונספור חזרות של כל איבר. נעבור שוב ונחזיר איבר שערך המונה שלו לפחות 𝐿. סיבוכיות O(𝑛) בתוחלת.</t>
  </si>
  <si>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ב. ידוע שקיים איבר שחוזר לפחות 𝑛/4 פעמים. הצע פתרון דטרמיניסטי.
</t>
  </si>
  <si>
    <t>נפעיל את אלגוריתם select על 𝑖𝑛/5 עבור 𝑖=1,2,3,4, נקבל 4 איברים. נספור כמה פעמים חוזר כל אחד מהם, ונחזיר איבר החוזר לפחות 𝑛/4 פעמים. סיבוכיות O(𝑛).</t>
  </si>
  <si>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ג. ידוע שקיים איבר שחוזר לפחות 𝑛/logn פעמים. הצע פתרון דטרמיניסטי. </t>
  </si>
  <si>
    <t>ראה ד׳. סיבוכיות O(nloglogn).</t>
  </si>
  <si>
    <t xml:space="preserve">נתון מערך של 𝑛 מספרים. בכל השאלות נרצה למצוא איבר החוזר מספר מסוים של פעמים במערך. במידה וקיים יותר מאיבר אחד כזה, אזי יש להחזיר אחד מהם.
הציעו אלגוריתם למציאת האיבר החוזר בכל אחד מהמקרים הבאים:
ד. ידוע שקיים איבר שחוזר לפחות 𝑛/k פעמים. הצע פתרון דטרמיניסטי (הסיבוכיות תלויה ב-k). </t>
  </si>
  <si>
    <t>נמצא חציון המערך ונספור כמה פעמים הוא חוזר בזמן O(n). אם הוא חוזר לפחות 𝑛/𝑘 פעמים, נחזיר אותו. אחרת, נמשיך באופן רקורסיבי לשני תתי המערכים – מימין לחציון ומשמאלו. בשלב i גודל המערך הינו ⌊𝑛/2^i⌋ לכן בודאות נעצור כאשר 2^i = k. סה"כ זמן הריצה הינו O(nlogk): זמן הריצה של כל שלב הוא O(n) וישנם logk שלבים לכל היותר.</t>
  </si>
  <si>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א. הציעו מבנה נתונים כזה עבור k=4. </t>
  </si>
  <si>
    <t>ניצור מערך בגודל 4 שיחזיק את כל אחד מהסוגים. 
בכל תא נתחזק: 
1. מצביע לרשימה שמכילה את האיברים מאותו סוג. 
2. את האיבר המקסימלי ברשימה. 
3. שדה offset מאותחל ל-0. 
בנוסף נתחזק שדה שיחזיק את המקסימום הגלובלי. בעת קריאה ל-Insert נפנה לתא המתאים במערך. נעדכן את המקסימום של הסוג הגלובלי אם צריך. נחסיר מהערך של האיבר המוכנס את הערך שיש בשדה ה-offset. לאחר מכן נכניס לרשימת האיברים. בעת קריאה ל-AddToElement פשוט נעדכן את ערך האיבר ואת המקסימומים במידת הצורך. בעת קריאה ל-max/maxAll נחזיר את ערך השדה מקס׳ הרלוונטי. בעת קריאה ל-AddToType נעדכן את השדה offset ואת המקסימום הרלוונטיים ואת המקסימום הגלובלי במידת הצורך.</t>
  </si>
  <si>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ב. הציעו מבנה נתונים כזה עבור עד k סוגים שונים ממוספרים 1,...,k. </t>
  </si>
  <si>
    <t>ראה א׳.</t>
  </si>
  <si>
    <t xml:space="preserve">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ג. הוסיפו הפעולה del(X) (המקבל פוינטר לאיבר X ומוחקת אותו מהמבנה) בזמן O(logn) אמורטייזד. 
כעת על insert, addToType לרוץ בזמן O(1) אמורטייזד. </t>
  </si>
  <si>
    <t>נתחזק לכל type ערימת פיבונאצ'י עם שדה offset, וכן ערימת פיבונאצ'י שתכיל את המקסימום של כל type. בכל פעולה רלוונטית נדאג לתחזק מצביעים מאיברי המקסימום של ערימות ה-type-ים לאיברים המתאימים בערימה הגלובלית. כעת בפעולות insert/addToType/addToElement נפעל בערימת ה-type המתאימה, ובמידת הצורך נעדכן האיבר המתאים בערימה הגלובלית ע"י increase-key. ייתכן ונאלץ גם לעדכן את המצביע. בדומה עבור פעולת ה-delete: נמחק האיבר מהערימה המתאימה, ובמידת הצורך נמחק אותו (בעזרת המצביע ששמרנו) מהערימה הגלובלית ונכניס אליה את המקסימום החדש של ה-type. Max/maxAll יחזירו המקסימום של ערימה של type מסוים או של הערימה הגלובלית. זמן הריצה בערימות פיבונאצי של הפעולות שציינו מתאימות לדרישות.</t>
  </si>
  <si>
    <t>נגדיר איברים המכילים שני שדות – type, value (סוג וערך). נניח כי מספר הערכים השונים האפשריים עבור השדה type הינו k. מעוניינים לבנות מבנה נתונים המכיל עד n איברים והתומך בפעולות הבאות: 
• Insert(x) – מכניסה את האיבר X למבנה הנתונים בזמן O(1). 
• AddToType(t,a) – מגדילה ב-a ערכו של שדה value של כל האיברים מסוג t בזמן O(1). 
• AddToElement(a,x) – מקבלת פוינטר לאיבר X ומגדילה ב-a ערך של שדה value שלו בזמן O(1) אמורטיזד. 
• Max(t) – החזרת האיבר המקסימלי מבין האיברים מסוג t בזמן O(1). 
• MaxAll() – החזרת האיבר המקסימלי במבנה (ללא הגבלה על סוג) בזמן O(1). 
ד. ללא פעולת ה-delete מסעיף ג,' הציעו מימוש לפעולה הבאה: 
merge(t1,t2) – מאחדת את כל האיברים מהסוגים t1 ≠ t2 כך שלאחר הפעולה האיברים יהיו כולם מסוג t1. סה"כ סכום זמני הריצה של כל פעולות ה-merge לא יעלה על O(nlogn).</t>
  </si>
  <si>
    <t>בדומה לסעיף הקודמים. בנוסף, בעת פעולת merge נעדכן המקסימום להיות המקסימום מבין שני המקסימומים, נשרשר את הרשימה הקצרה לרשימה הארוכה, נעבור על הרשימה הקצרה ונוסיף לה offset שלה ונחסיר ממנה את ה-offset של הרשימה הארוכה. את הרשימה הסופית נשרשר ל-t1. מ-t2 קובעים פוינטר לרשימה ריקה. מחיקת המקס' לוקחת O(logn) אמורטייזד. כל מיזוג כזה לוקח זמן מסדר גודל של אורכה של הרשימה הקטנה, וגודל הרשימה המשותפת שנוצרת היא לפחות פעמיים האורך הנ״ל. אם נתבונן באיבר מסוים, כמות הפעמים שנערוך אותו לאורך סדרת מיזוגים לא תעלה על O(logn) פעמים. לכן, כמות הפעמים שנערוך את כל האיברים לא תעלה על O(nlogn).</t>
  </si>
  <si>
    <t xml:space="preserve">נתון מערך של ח מספרים שלמים בין 0 ל-2 בחזקת n.
נתון שכל מספר במערך הוא כפולה של ערך עליון של 2 בחזקת N, חלקי N בחזקת שלוש. הציעו אלגוריתם למיון המערך.
</t>
  </si>
  <si>
    <t>נחלק כל מספר ב-(ערך עליון של 2 בחזקת N, חלקי N בחזקת שלוש). כעת איברי המערך בתחום [0, n^3] וניתן למיינם באמצעות O(n) .radix sort.</t>
  </si>
  <si>
    <t>נתון מערך של ח מספרים שלמים בין 0 ל-2 בחזקת n. נתון כי המרחק בין כל שני מספרים הוא לפחות - [ערך עליון של 2 בחזקת N, חלקי N בחזקת שלוש] (פרט לחזרות על אותו מספר). הציעו אלגוריתם למיון המערך.</t>
  </si>
  <si>
    <t>נעגל כל המספרים לכפולה השלמה של [ערך עליון של 2 בחזקת N, חלקי N בחזקת שלוש] הקרובה ביותר מלמטה ונשמור אותם במערך חדש לפי הסדר של המערך המקורי. נבצע radix sort במערך החדש ונבצע כל פעולת "סידור" של ה-radix sort במקביל
במערך המקורי. (O(n.</t>
  </si>
  <si>
    <t>נתונים שני עצי AVL בגודל n כל אחד. האם ניתן למזגם בזמן O(n)? הוכח באמצעות אלגוריתם או הפרך.</t>
  </si>
  <si>
    <t>הוכחה. נבצע in order walk על כל אחד מהעצים ונקבל שני מערכים ממוינים של איבריהם. נבצע merge sort לקבלת מערך ממויך יחיד. נבנה ממנו עץ מאוזן באופן הבא: החציון יהיה השורש, הסטטיסטי סדר ה-1/4 וה-3/4 יהיו הבן השמאלי והימני של השורש בהתאמה, וכן הלאה.</t>
  </si>
  <si>
    <t>נתונים שני עצי AVL בגודל n כל אחד. האם ניתן למזגם בזמן ((O(sqrt(n? הוכח באמצעות אלגוריתם או הפרך.</t>
  </si>
  <si>
    <t>לא ניתן. נניח וניתן היה לעשות זאת, אזי היינו יכולים למיין n מספרים בזמן קטן מ-(O(nlogn ע"י מיזוגים רקורסיבים ואז in order walk. נוסחת הרקורסיה המתוארת הינה T(n) = 2T(n/2) + Vn ופתרונה (O(n. לכן סה"כ זמן המיון הינו (O(n.</t>
  </si>
  <si>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התומך בפעולות 1-2 בזמן (1)O במקרה הגרוע ביותר (אין צורך לממש את פעולה 3).</t>
  </si>
  <si>
    <t>נקצה מערך בגודל 3n. בכל קריאה ל-Add נעדכן התא המתאים במערך ונבדוק אם הוא המקסימום החדש על ידי השוואה לנוכחי. whoIsMax יחזיר את המקסימום שיישמר תמיד בשדה עזר.</t>
  </si>
  <si>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תארו מבנה דטרמיניסטי אשר בנוסף תומך בפעולה 3 בזמן (O(logn אמורטייזד. במקרה זה פעולה 1 תתבצע בזמן (1)O אמורטייזד ופעולה 2 תשאר בזמן (1)O במקרה הגרוע ביותר.</t>
  </si>
  <si>
    <t>בנוסף למבנה שהשתמשנו בו בסעיף א' נחזיק ערימת פיבונאצ'י. בכל תא במערך נחזיק פוינטר לאיבר המתאים ערימה. בהכנסה (אם לא קיים) מעדכנים במערך ומוסיפים איבר לערימה – (1)O. אם האיבר קיים,
ההוספה לערימה תקח (1)O אמורטייזד. whoIsMax כמוקדם. בפעולה החדשה – נעדכן האיבר המתאים במערך, נעקוב אחרי הפוינטר לערימה ונבצע delete והכנסה מחדש לערימה (נעדכן המצביעים בהתאם).
(O(logn אמורטייזד.</t>
  </si>
  <si>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הסבירו מדוע לא ניתן לממש את כל הפעולות ב-(1)O אמורטייזד, אפילו בעזרת רנדומיות.</t>
  </si>
  <si>
    <t>נראה סתירה לחסם המיון. נניח כי נתונה לנו קבוצה של n מספרים. נכניס אותם למבנה באמצעות Add עם id הגדל באחד כל פעם. כעת נבצע n פעמים whoIsMax לקבלת האיבר הגדול הבא, ונבצע עליו reduce(I,inf).</t>
  </si>
  <si>
    <t>נדרש מבנה נתונים התומך בפעולות הבאות על איברים המכילים שני שדות – id, amount. בכל רגע נתון מספר האיברים במבנה אינו עולה על N.
1. (Add(i,x מגדילה ב-x ערכו של שדה amount של האיבר (היחיד) בעל id=i אם קיים. אחרת, אם לא קיים איבר כזה, מוסיף איבר עם id=i, amount=x (לא נתון מצביע לאיבר)
2. ()whoIsMax מחזירה את ה-id עבורו שדה ה-amount מקסימלי (אם קיים יותר מאחד כזה, מחזירה אחד מהם)
3. (Reduce (i,y מפחיתה y מה-amount של האיבר בעל id=i (לא נתון מצביע לאיבר)
נניח כי כל ה-id נמצאים בטווח [1,3n]. נניח כי לא ניתנת הגבלה על טווח ה-id-ים.
תארו מבנה התומך בפעולה 1 בזמן (1)O בתוחלת אמורטייזד, בפעולה 2 בזמן .O(1) w.c ובפעולה 3 בזמן (O(logn אמורטייזד בתוחלת.</t>
  </si>
  <si>
    <t>Add: נלך ל-hashtable עם ה-i key. אם לא קיים, נכניס לטבלה וכן לערימת פיבונאצ'י עם פוינטר בינהם. אם קיים, נעדכן פשוט בטבלה ובערימה. (1)O אמורטייזד בתוחלת. whoIsMax יחולץ כרגיל מהערימה.
Reduce: נעדכן בטבלה, ובעזרת הפוינטר נמחק ונוסיף מהערימה. סה"כ (O(logn אמורטייזד בתוחלת.</t>
  </si>
  <si>
    <t>האם ניתן לממש עץ AVL כך שפעולת ה-insert תיקח במקרה הגרוע ביותר (1)O ופעולת ה-delete תיקח (O(n, כאשר n מספר האיברים בעץ?</t>
  </si>
  <si>
    <t>לא ניתן. ניקח קבוצה כללית של מספרים בגודל n, נכניסם לעץ ונקבל אותם ממוינים על ידי in order walk ב-(O(n.</t>
  </si>
  <si>
    <t>האם ניתן לממש עץ חיפוש כלשהו כך שפעולת ה-insert תיקח במקרה הגרוע ביותר (1)O ופעולת ה-delete תיקח (O(n, כאשר n מספר האיברים בעץ?</t>
  </si>
  <si>
    <t>האם ניתן לממש עץ AVL כך שנוסיף לו פעולה החזר את האיבר המינימלי שגדול שווה לממוצע האיברים בזמן (1)O מבלי לפגוע בזמן הריצה של שאר הפעולות?</t>
  </si>
  <si>
    <t>נחזיק מצביע עזר שיתוחזק בכל פעולת insert,delete ויצביע לאיבר הרלוונטי. ידרוש עדכון של הממוצע בכל שלב וחיפוש האיבר המתאים, מה שנכנס בזמן הריצה של (O(logn.</t>
  </si>
  <si>
    <t>נגדיר עץ בינארי מסוג i-WAVL: ההגדרה זהה להגדרת עץ WAVL, פרט לכלל הפרשי הדרגות. בעץ מסוג i-WAVL הפרש הדרגות האפשרי בין צומת לבנו הוא בין 1 ל-i. חשבו חסם אסימפטוטי על גובהו המקסימלי של עץ i-AVL בן n איברים, כתלות ב-n וב-i.</t>
  </si>
  <si>
    <t>בדומה לחישוב עבור-WAVL:
נסמן Sk מספר האיברים המינימלי בעץ i-WAVL ששורשו מדרגה k. אזי מתקיים sk = 1 +2sk-1, נוסחת נסיגה שפתרונה sk = 2^|k/i|     1. מכאן, אם מספר האיברים בעץ הינו n, דרגת השורש מקיימת k =&lt; i · logn. בעץ -i WAVL מתקיים כי height =&lt; rank, לכן החסם האחרוך הינו גם החסם על גובה העץ.</t>
  </si>
  <si>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</si>
  <si>
    <t>נחזיק עץ חיפוש בינארי מאוזן עם שהמפתחות בו הם מזהי הקבוצות. ב-createSet נכניס איבר חדש לעץ, שיצביע לעץ חיפוש בינארי מאוזן נפרד שיכיל את איברי הקבוצה ופוינטר למינימום שלו. (O(logn. עבור getMin נחפש בעץ הקבוצות ונחזיר המינימום של עץ הקבוצה המתאים.
getContMin: נמצא הצומת המתאים בעץ עבור הקבוצה עם המזהה המינימלי באינטרוול. נחזיר המינימום שלו ושל כל הקבוצות הבאות בעזרת קריאות עוקבות ל-successor. סה"כ (|O(logn+|B. בדומה נממש יתר הפעולות. זמני הריצה יהיו (((O(log(n)+|B|(1+log(m .</t>
  </si>
  <si>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דטרמיניסטי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
(getMin(setId - מחזירה המינימום של קבוצה עם מזהה setId.
(getContMin(B- מקבלת אינטרוול רציף של מזהים B ומחזירה מערך שמכיל את המינימום של כל קבוצה עם מזהה מ-B.</t>
  </si>
  <si>
    <t>נרצה לתחזק מבנה נתונים המכיל קבוצות של מספרים. נניח שלכל קבוצה יש מספר מזהה ייחודיי. נגדיר אינטרוול רציף של מזהי קבוצות באופן הבא: בהינתן מערך ממוין A של כל מזהי הקבוצות, אינטרוול רציף של מזהים הינו קבוצה המכילה את כל האיברים בתת-מערך של A.
לדוגמא: נניח שמבנה הנתונים מכיל ברגע נתוך קבוצות עם המזהים {50 ,1,13,42}, אזי:
הקבוצה {1,13} היא אינטרוול רציף.
הקבוצה {13,42,250} היא אינטרוול רציף.
הקבוצה {1,42} היא אינה אינטרוול רציף.
נסמן ב-n את כמות הקבוצות וב-m את הגודל המקסימלי של קבוצה. כאשר ניתן יש להביע הסיבוכיות באמצעות m,n ו-|B|.
ממשו מבנה נתונים רנדומי התומך בפעולות:
(createSet(setId - יצירת קבוצה עם מזהה setId.
(insertToSets(B, E – בקבלת מערך המכיל איברי אינטרוול רציף של מזהים B (הקיימים במבנה) ומערך של אלמנטים E. יש להכניס את האיבר [E[i לקבוצה עם המזהה [B[i. שני המערכים זהים באורכם.</t>
  </si>
  <si>
    <t>ניצור טבלת hash כפולה. לכל setId נכניס לטבלת האש בה ה-value הוא פוינטר לעוד טבלת hash. אופן מימוש הפעולות מיידי. הסיבוכיות של createId הינה (1)O בתוחלת, ושל יתר הפעולות (|O(|B בתוחלת.</t>
  </si>
  <si>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סבוכיות זמן הריצה היתה (בחרו את התשובה ההדוקה ביותר):
א.	(O(n
ב.	(O(nlogn
ג.	(O(n2
ד.	כל תשובה בין (O(n לבין ףמ)0הינה אפשרית ותלויה בערכי המערך.
ה.	אי אפשר לחסום את זמן הריצה כי ניתן רק לחשב את תוחלת זמן הריצה.</t>
  </si>
  <si>
    <t>Worst case is between 1 + 2 + 3 + ⋯ + 0.75n = Θ(n^2) and 0.25n + 0.25n + 1 + 0,25n + 2 + ... . n = Θ (n^2)</t>
  </si>
  <si>
    <t>בכיתה למדנו על select המשתמש ב partition אקראי. בריצה ספציפית שביצע אלגוריתם זה על מערך A באורך n נקראה הפונקציה select (כולל קריאות לעצמה) 0.75n פעמים (n מתחלק ב 4) בסך הכל. הניחו שזמן הריצה של partition הינו לינארי באורך הקלט שלו. מעוניינים שהמערך A יהיה ממוין (מקטן לגדול).
לאחר הריצה הנ"ל מספר האיברים במערך A שאינם נמצאים במקום הנכון הינו (ספקו התשובה ההדוקה ביותר):
א.	לכל היותר 0.25n
ב.	לכל היותר 0.75n
ג.	לכל הפחות 0.75n
ד.	לכל היותר logn
ה.	כל האיברים נמצאים במקום. המערך ממוין.
ו.	היות ו partition אקראי - אי אפשר לדעת ולכן התשובות האחרות אינן נכונות.</t>
  </si>
  <si>
    <t>There are 0.75n pivots. They all land in their place. All the rest we don’t know.</t>
  </si>
  <si>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(trees(B) , #trees(A# את מספר העיצים הבינומיים במבנה של A ובמבנה של B בהתאמה.
בסוף סדרת הפעולות (לאחר ביצוע שני ה deletemin) .
א.	(trees(A) &gt; #trees(B#
ב.	(trees(A) = #trees(B#
ג.	(trees(A) &lt; #trees(B#
ד.	התשובה תלויה ב K</t>
  </si>
  <si>
    <t>Tree size does not depend on the values, only on number of nodes.</t>
  </si>
  <si>
    <t>בכיתה למדנו על lazy binomial heap. נתעניין במימוש שבו: 1 .insert מתבצע על ידי הוספת עץ בגודל 1 לסוף רשימת העצים.
2.ב deletemin, לאחר השמטת המינימום, מכניסים את ילדיו לסוף רשימת העצים ומבצעים successive linking על ידי סריקת העצים (המתחילה בראש הרשימה ומסתיימת בסופה).
אליס (A) ביצעה insert של האיברים 2 + 1,2, .. .,2k, 2k + 1,2k בסדר עולה ואחר כך בצעה שני deletemin.
בוב (B) ביצע insert של אותם האיברים בסדר יורד ואחר כך ביצע שני deletemin.
נסמן ב (links(B) ,#links(A# את מספר פעולות ה link שיתבצעו בפעולת ה deletemin השניה במבנה של A ובמבנה של B בהתאמה.
עבור 1&lt;:k
א.	0 ~ |(links(A) — #links(B#|
ב.	links(A) — #links(B) | ~ log k#|
ג.	links(A) — #links(B)l ~ k#|
ד.	l#links(A) — #links(B)l ~ 2fc
ה.	התשובה תלויה ב  K</t>
  </si>
  <si>
    <t>הסבר קצר: (לצורך המחשת ההסבר ניתן להשתמש ב3=k אך הנימוק נכון ל 1&lt;k כללי).
In one DS the minimum is in a tree of size 1, in the other DS the minimum is in a tree of
.(size 2k (with k children</t>
  </si>
  <si>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לכל היותר בשלב השני (עבור כל טבלת משנה) - ימצא hash מושלם.</t>
  </si>
  <si>
    <t>לא נכון. שלב שני מייצר טבלות ריבועיות ולכן עובד בתוחלת בשני נסיונות נתוני השאלה לא השפיעו על זה.</t>
  </si>
  <si>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תוך 2 נסיונות בתוחלת בשלב השני (עבור כל טבלת משנה) - ימצא hash מושלם.</t>
  </si>
  <si>
    <t>נכון. שלב שני מייצר טבלות ריבועיות ולכן עובד בתוחלת בשני נסיונות נתוני השאלה לא השפיעו על זה.</t>
  </si>
  <si>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הפונקציה h1 לא מבטיחה לבוב שהגודל הכללי של המבנה יהיה לינארי ב n ולכן לא ישיג את הביצועים של two level hashing) perfect hash) שנלמד בכיתה.</t>
  </si>
  <si>
    <t>היא כן מבטיחה, מחישוב סכום ריבועי התאים (המקרה הגרוע ביותר שכל שורש N האיברים הנותרים נופלים באותו מקום עדיין לינארי).</t>
  </si>
  <si>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תשובה 6 אינה נכונה. אבל תוך 4 נסיונות בתוחלת בשלב השני (עבור כל טבלת משנה) - ימצא hash מושלם.</t>
  </si>
  <si>
    <t>בוב הריץ את אלגוריתם perfect hash שנלמד בכיתה (two level hashing). בהרצת החלק הראשון של האלגוריתם (יצירת הטבלה הראשית) בחר בוב פונקציה h1 וגילה ש  sqrt(n) +n + 1-  המפתחות האחרונים שהכניס לטבלה הראשית נכנסו כל אחד לתא "פרטי" (כלומר ללא התנגשות). על סמך מידע זה החליט בוב שלא יבדוק את המפתחות האחרים ולא ינסה פונקציות נוספות בשלב הראשון ויעבור לבצוע השלב השני. ענה נכון\לא נכון ונמק. בזמן O(n^2) מובטח שבשלב השני ימצא hash מושלם.</t>
  </si>
  <si>
    <t>לא נכון. תאורטית יכול להיות אינסוף נסיונות.</t>
  </si>
  <si>
    <t xml:space="preserve">הציעו אלגוריתם יעיל ככל האפשר המקבל כקלט 2 מחרוזות, אחת באורך n והשנייה באורך k ובודק האם המחרוזת באורך k מופיעה פעמיים (או יותר) כתת-מחרוזת במחרוזת באורך n. ניתן להניח ש K&lt;N.
מה היא סיבוכיות האלגוריתם במקרה הגרוע ביותר?
א. O(n)
ב. O(n2)
ג. O(n log(k))
ד. О(n log(n))
ה. О(k log(n))
</t>
  </si>
  <si>
    <t>O(n). נבנה עץ סייפות מהמחרוזת באורך n.
נטייל על הקשתות העץ, מהשורש, במסלול שמתאים לאותיות במחרוזת באורך k.
אם נגיע בטיול למצב שבו לא ניתן להמשיך בכיוון האות הבאה, נעצור ונחזיר false.
בסוף המסלול, כשעברנו על כל האותיות במחרוזת באורך k נבדוק אם אנחנו בצומת פנימית, או קשת שמצביעה לצומת פנימית. אם כן נחזיר true. אחרת false.
נימוק זמן ריצה:
בניית העץ –O(n)
טיול לאורכו – O(K) – כל פעם נחפש את האות הבא של המחרוזת באורך k, מתוך לכל היותר כמות קבוע של
פיצולים בעץ.
בדיקה אם אנחנו בצומת פנימית – (1)O.</t>
  </si>
  <si>
    <t>הביטוי הרגולרי
ab+a
מתאים לכל מחרוזת שמתחילה באות a, ממשיכה בסדרה של חזרות של האות b ונגמרת באות a. לדוגמה:
abba, aba, abbba
מתאימים לביטוי ו:
abb, bba, bb, bbaa, ab, baa
לא מתאימים.
הציעו אלגוריתם יעיל ככל האפשר שיבדוק אם מחרוזת באורך n מכילה 2 תתי מחרוזות שמתאימות לביטוי הרגולרי הנ"ל, ושוות זו לזו.
מה הוא זמן הריצה של האלגוריתם היעיל ביותר? הקיפו את התשובה הנכונה ביותר.
א. זמן גרוע ביותר - O(n)
ב. זמן גרוע ביותר - O(n^2)
ג. זמן אמורטיזד - O(n) וזמן גרוע ביותר - O(n^2)
ד. זמן אמורטיזד - O(nlogn) וזמן גרוע ביותר - O(nlogn)
תארו את האלגוריתם, ונמקו את זמני הריצה שלו.</t>
  </si>
  <si>
    <t>תאור אלגוריתם:
נבנה עץ סייפות למחרוזת באורך n. נטייל בעץ באופן הבא – מהשורש נחפש את האותיות ab. אם לא נמצא מסלול שמתחיל ב ab נחזיר false.
אחריה, נטייל בעץ ונחפש את האתיות b ו a. אם נמצא את האות a, נבדוק אם המשך הקשת שלה מוביל לצומת פנימית, אם כן, נחזיר true. אם לא, או שלא מצאנו את האות a, נמשיך במסלול שמובילה אליו האות b.
נימוק זמן ריצה:
בניית העץ - O(n)
טיול במסלול בעץ שמתחיל ב a ואז כולל רק את סדרת האותיות b – מסלול בעץ באורך לכל היותר O(n) ,
וכל השוואה בו היא לכל היותר (1)O- סכ"ה O(n).
בדיקה בכל שלב במסלול אם קיים פיצול לאות a, ואם הוא מוביל לצומת פנימית –O(1)*n=O(n).</t>
  </si>
  <si>
    <t>נגדיר עץ חיפוש בינארי קל כעץ בינארי בו מתקיים הכלל הבא: כל צומת x גדול מבנו השמאלי (אם קיים) וקטן מבנו הימני (אם קיים).
הוכיחו או הפריכו: ניתן לשכן סדרה כלשהיא של n מספרים שונים בעץ חיפוש בינארי קל בזמן O(n).</t>
  </si>
  <si>
    <t>כן.
נימוק קצר:
ניתן פשוט להכניס את האיברים לפי הסדר בו הם שמורים ולבנות עץ במבנה של שרוך. כל פעם שמכניסים איבר חדש בודקים אם הוא קטן או גדול מהאיבר הקודם, ובהתאם לכך מחליטים אם הוא בן שמאלי/ימני של האיבר הקודם.</t>
  </si>
  <si>
    <t>נגדיר עץ חיפוש בינארי קל כעץ בינארי בו מתקיים הכלל הבא: כל צומת x גדול מבנו השמאלי (אם קיים) וקטן מבנו הימני (אם קיים).
הוכיחו או הפריכו:</t>
  </si>
  <si>
    <t xml:space="preserve">כן. נימוק קצר:
אלגוריתם דומה לאלגוריתם לשיכון מערך עם n איברים לערימה בזמן O(n). מתייחסים
למערך כעל עץ, ואז מתקנים את העץ מלמטה למעלה שכבה שכבה.
הרעיון הוא לעבור על כל הצמתים בשכבה, ולפעפע את הבעיה למטה, בדומה לdown heapify.
כל פעם בודקים אם כלל עץ החיפוש הקל הופר, ובמידה שכן מתקנים בהתאם.
נשים לב שתמיד ניתן לפעפע את הבעיה צעד אחד כלפי מטה בזמן קבוע:
אם הערך של הצומת שכרגע מסתכלים עליו הוא בין שני הילדים שלו ורק הילדים בסדר לא נכון (הקטן מימין והגדול משמאל) אז מחליפים בין הילדים וסיימנו.
אחרת נניח שהערך של הצומת שמסתכלים עליו קטן יותר משני הילדים שלו (טיפול דומה כאשר הוא גדול יותר), אז אחד הילדים הוא עם הערך הגדול ביותר. קודם נדאג שהוא יישב כבן הימני של הצומת, ואז נחליף
את הצומת עם הבן השמאלי (שהוא כרגע עם הערך האמצעי מבין השלושה).
הבעיה עברה שלב אחד למטה (לאחר טיפול בזמן קבוע), וממשיכים באותו אופן עד שמגיעים לעלים והבעיה נפתרת.
</t>
  </si>
  <si>
    <t>כמה זמן ייקח מיון הכנסות (sort insertion) על המערך באורך n הבא [7,8,5,6,3,4,1,2,...N,N-1]:
א. O(n)
ב. O(nlogn)
ג. O(n^2)
ד. O(n^{3/2})</t>
  </si>
  <si>
    <t>ראינו שכאשר יש I הפרות סדר במערך, Sort Insertion ייקח (n + I)O. קל לראות שכאן O(n) = I.</t>
  </si>
  <si>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[2,1,4,3,6,5,8,7,...N,N-1] היא פלט אופציונלי של ערימה מרושלת עבור 1=k?</t>
  </si>
  <si>
    <t>לא, כי כאשר 1 =K הערימה המרושלת היא ערימה רגילה ולכן הפלט צריך להיות ממויין.</t>
  </si>
  <si>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האם הסדרה  [7,8,5,6,3,4,1,2,...N,N-1] היא פלט אופציונלי של ערימה מרושלת עבור 2=k?</t>
  </si>
  <si>
    <t>כן. קל לראות שאחד משני האיברים הקטנים ביותר הוחזרו.</t>
  </si>
  <si>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עבור 2=k, נניח הכנסנו n איברים לערימה מרושלת ושלפנו אחד אחד. כמה איברים יכלו להישלף לפני שנשלף המינימום הגלובלי של n האיברים?
א. 0 איברים.
ב. 0 או 1 איברים.
ג. 1 או 2 איברים.
ד. כל מספר מבין 0 ל N-1.</t>
  </si>
  <si>
    <t>תשובה: כל מספר מבין 0 ל N-1. נימוק: ניתן להחזיר במשך i פעמים את האיבר השני בגודלו ורק אז את האיבר הקטן ביותר, עבור כל i בין 0 ל1 − N.</t>
  </si>
  <si>
    <t>ערימת מינימום מרושלת היא ערימה שבמקום להחזיר את המינימום מחזירה את אחד מבין הk איברים הכי קטנים בערימה. בנוסף בפעולת המחיקה היא מוחקת את אותו איבר שהחזירה כמינימום המקורב. הוכיחו או הפריכו את הטענה הבאה:
עבור 2=k ניתן לממש ערימה מרושלת כך שכל הפעולות לוקחות O(1) amortized זמן.</t>
  </si>
  <si>
    <t>לא ניתן. אם היה ניתן היינו מגיעים לסתירה לחסם התחתון של מיון.
נבצע רדוקציה מבעיית המיון – נכניס את n האיברים אותם אנחנו רוצים למיין לערימה מרושלת, וכעת נמצא את המינימום המקורב ונמחק אותו. נבצע זאת n פעמים. ניקח את הסדרה שקיבלנו ונשים לב שיש בה n הפרות סדר לכל היותר ולכן ניתן עכשיו לבצע מיון הכנסות בזמן לינארי ולקבל את הסדרה ממויינת.</t>
  </si>
  <si>
    <t>נרצה לתחזק את מהלך המשחק SudokTau. המשחק מתנהל על לוח n × n, כאשר מטרת המשחק היא למלא את כל הלוח במספרים בין 1 לn, ואסור שיהיה את אותו המספר פעמיים באותה שורה או באותה עמודה. השחקן יכול לבצע את הפעולות הבאות:
 Write(i,j,number) -  כותבת את המספר number למקום ה(i,j) בלוח.
המהלך הוא חוקי אם הוא לא מפר את כלל השורה והעמודה. אם המהלך אינו חוקי יש להודיע למשתמש. ניתן להניח שלא קיים איבר במקום ה(i,j) בלוח בעת ההכנסה.
Contains(i,j)  – בודקת האם קיים איבר במקום ה(i,j) בלוח. אם קיים, היא מחזירה את האיבר למשתמש.
Erase(i,j) - מוחקת את האיבר במקום ה(i,j) בלוח. ניתן להניח שקיים איבר במקום ה(i,j) בעת המחיקה.
()Won - מחזירה למשתמש האם הוא ניצח (את זה לא נממש).
תאר מימוש ל3 הפעולות הראשונות כך שכל הפעולות רצות בזמן (1)O במקרה הגרוע, כאשר סיבוכיותזמן ומקום האיתחול הוא O(n^2).</t>
  </si>
  <si>
    <t>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כאשר ארשום מטריצה הכוונה היא למערך דו מימדי בגודל n × n.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</si>
  <si>
    <t>בסעיף הבא, סיבוכיות זמן ומקום האיתחול הוא (1)O, וסיבוכיות המקום בכל רגע נתון הוא O של מספר האיברים במבנה הנתונים.
תאר כיצד ניתן לייצג וקטור באורך m שתומך בפעולות הכנסה למקום i , קריאה מהמקום i , ומחיקה מהמקום הi בזמן O(logm) במקרה הגרוע לכל פעולה.</t>
  </si>
  <si>
    <t>מבנה נתונים מרכזי: עץ AVL. תיאור קצר:
הkey של איבר יהיה האינדקס i, והvalue יהיה תוכן הוקטור באינדקס i.</t>
  </si>
  <si>
    <t>בסעיף הבא, סיבוכיות זמן ומקום האיתחול הוא (1)O, וסיבוכיות המקום בכל רגע נתון הוא O של מספר האיברים במבנה הנתונים. תאר כיצד ניתן לייצג מטריצה בגודל m × m שתומך בפעולות הכנסה למקום ה(i,j), קריאה מהמקום ה(i,j), ומחיקה מהמקום ה(i,j), בזמן O(logm) במקרה הגרוע לכל פעולה.</t>
  </si>
  <si>
    <t xml:space="preserve">מבנה נתונים מרכזי: עץ AVL. תיאור קצר:
הkey יהיה הזוג (i,j) כאשר ההשוואה בין מפתחות תהיה לקסיקוגרפית (משווים את i, ואם יש תיקו משווים את j).
הvalue יהיה תוכן המטריצה במקום ה(i,j).
</t>
  </si>
  <si>
    <t xml:space="preserve">בסעיף הבא, סיבוכיות זמן ומקום האיתחול הוא (1)O, וסיבוכיות המקום בכל רגע נתון הוא O של מספר האיברים במבנה הנתונים. תאר מימוש ל3 הפעולות הראשונות (write, contains, erase) כך שכל הפעולות רצות בזמן O(logn). </t>
  </si>
  <si>
    <t>תיאור מבני הנתונים בשביל המימוש (ומטרת כל מבנה נתונים):
אותו פיתרון כמו בא', כאשר משתמשים במבנה הנתונים בסעיף ג' במקום המערכים הדו מימדיים.
תיאור מבני הנתונים בהם אתם משתמשים בשביל המימוש (ומטרת כל מבנה נתונים):
צריך להחזיק 3 מבני נתונים. אחד כדי להחזיק את הלוח, אחד כדי להחזיק את תוכן העמודות ואחד כדי להחזיק את תוכן השורות. נשתמש בשלושה עצי AVL כאשר הkey יהיה הזוג (i,j) כאשר ההשוואה בין מפתחות תהיה לקסיקוגרפית (משווים את i, ואם יש תיקו משווים את j).
הvalue יהיה תוכן המטריצה במקום ה(i,j). כל עץ AVL כזה מייצג מטריצה שתומך מפעולת הכנסה קריאה ומחיקה בO(logm). מעתה נתייחס למבנה זה כמטריצה.
עבור הלוח – נחזיק מטריצה A כך שתוכן הלוח במקום הi,j זה A[i,j], ו0 מציין שהתא ריק.
עבור תוכן השורות – נחזיק מטריצה B כך שאם num מופיע בשורה i אז B[i,num] = 1 ואחרת 0.
עבור תוכן העמודות – נחזיק מטריצה C כך שאם num מופיע בעמודה j אז C[j,num] = 1 ואחרת 0.
תיאור הפעולות:
(Contains(i,j:  במידה ו0 =! [A[i,j נחזיר את  [A[i,j. פעולת write במידה ו B[i,num] = 0 וגם C[j,num] = 0 נבצע השמות C[j,num] = 1 וגם  B[i,num] = 1 וגם ז A[i,j] = 1 אחרת נחזיר שהפעולה לא חוקית. Erase נשמור A[i,j] = num ונבצע השמות B[i,num] = C[j,num] = A[i,j] = 0. סיבוכיות זמן ומקום: האתחול (O(n^2 מהקצאת 3 מערכים דו מימדיים. סיבוכיות קבועה לכל פעולה כיוון שיש מספר קבוע של גישות למערכים.</t>
  </si>
  <si>
    <t xml:space="preserve">תאר מימוש של מבנה נתונים עם הפעולות הבאות (x הוא מפתח):
 Insert(x) - בזמן אמורטייזד O(logn).
 Search(x) - בזמן אמורטייזד O(logn).
Delete(x) - בזמן אמורטייזד O(logn).
</t>
  </si>
  <si>
    <t>מבנה נתונים מרכזי: עץ AVL. תיאור קצר: נשתמש בפעולות הרגילות של עץ AVL.
הסבר לסיבוכיות: כל הפעולות הן בזמן הגרוע ב O(logn), ולכן בפרט באמורטייזד ישירות מההגדרה של אמורטייזד.</t>
  </si>
  <si>
    <t>תאר מימוש של מבנה נתונים עם הפעולות הבאות (x הוא מפתח):
 Insert(x) - בזמן אמורטייזד O(logn).
 Search(x) - בזמן אמורטייזד O(logn).
Delete(x) - בזמן אמורטייזד (1)O.</t>
  </si>
  <si>
    <t>מבנה נתונים מרכזי: עץ AVL. תיאור קצר: נשתמש בפעולות הרגילות של עץ AVL.
הסבר לסיבוכיות: בשיטת הבנק - בזמן הכנסה ((x(insert), נכניס את האיבר, ובנוסף נשאיר לו logn מטבעות בשביל המחיקה שלו.</t>
  </si>
  <si>
    <t>תאר מימוש של מבנה נתונים עם הפעולות הבאות (x הוא מפתח):
 Insert(x) - בזמן אמורטייזד O(logn).
 Search(x) - בזמן אמורטייזד O(logn).
Delete(x) - בזמן אמורטייזד (1)O וגם במקרה הגרוע ביותר (1)O.</t>
  </si>
  <si>
    <t>מבנה נתונים מרכזי: עץ AVL. מבנה נתונים משני: רשימה מקושרת. סיבוכיות במקרה הגרוע של insert הוא O(nlogn). סיבוכיות במקרה הגרוע של search הוא O(nlogn). פיתרון:
בזמן האתחול נאתחל עץ AVL ורשימה מקושרת.
בזמן מחיקה, נכניס את x לתחילת הרשימה המקושרת.
בזמן חיפוש/הכנסה, לפני ביצוע הפעולה עצמה, נעבור על כל הרשימה המקושרת ונמחק איבר איבר.
לאחר שרוקנו את הרשימה נבצע את הפעולה עצמה (חיפוש/הכנסה).
ניתוח האמורטייזד בשיטת הבנק - בזמן הכנסה ((x(insert), נכניס את האיבר, ובנוסף נשאיר לו logn מטבעות בשביל המחיקה שלו.</t>
  </si>
  <si>
    <t xml:space="preserve">בהינתן סדרה של n איברים, מה סיבוכיות הזמן למציאת k האיברים הקטנים בגודלם בסדרה (עבור k &lt; n). </t>
  </si>
  <si>
    <t>סיבוכיות זמן: (n(O
הסבר קצר: בעזרת אלגוריתם selection שראינו בכיתה ואז partition.</t>
  </si>
  <si>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𝑘=2 )נניח שיש בערימה מעל שני איברים): יוסקה מימש ערימה מרושלת בצורה הבאה: המימוש מחזיר את המינימום האמיתי מבין כל האיברים
שנמצאים בערימה למעט שני האיברים האחרונים שהוכנסו (הערימה מתעלמת מ 2 האיברים האחרונים שהוכנסו). לדוגמה, נניח הוכנסו לערימה האיברים בסדר הבא (משמאל לימין): 2,7,9,0. הערימה המרושלת שיוסקה מימש תחזיר 2 כי זה המינימום מבין 2,7 (לא מתייחסת ל9,0 כיוון שהם ה 2 האחרונים).
האם מבנה הנתונים של יוסקה עונה על הדרישות של ערימת מינימום מרושלת חוקית (או האם קיימת סדרה של הכנסות/מחיקות בה הערימה אינה עונה על דרישות ערימה מרושלת)?</t>
  </si>
  <si>
    <t>לא. הסבר: שני האיברים האחרונים יכולים להיות הכי קטנים מבין כל מי שבערימה לכן מבנה הנתונים יהיה חייב להחזיר אחד מהם על מנת לשמור על חוקי הערימה המרושלת.</t>
  </si>
  <si>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k=100 (נניח שיש בערימה מעל 100 איברים) יוסקה מימש רשימה מרושלת בצורה הבאה: המימוש של יוסקה מחזיר את האיבר ה 20 הקטן ביותר (יש 19 איברים קטנים ממנו) מבין כל האיברים שנמצאים בערימה למעט 50 האיברים האחרונים שהוכנסו לערימה. זאת אומרת מבנה הנתונים מסתכל על קבוצת כל האיברים שיש בערימה למעט ה 50 איברים שהוכנסו בסוף, ומבין הקבוצה הזאת מחזיר את האיבר ה 20 בגודלו.
האם מבנה הנתונים של יוסקה עונה על הדרישות של ערימת מינימום מרושלת חוקית (או האם קיימת סדרה של הכנסות/מחיקות בה הערימה אינה עונה על דרישות ערימה מרושלת)?</t>
  </si>
  <si>
    <t>כן. הסבר: נשים לב שהאיבר שיוסקה מחזיר הוא בין ה 70 הכי קטנים שנמצאים במבנה הנתונים ולכן מבנה הנתונים תקין.</t>
  </si>
  <si>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𝑘=1 האם ניתן לממש ערימה מרושלת כך שכל הפעולות ב ADT לוקחות זמן אמורטייזד(1)O?</t>
  </si>
  <si>
    <t>לא. הסבר: לא כי אז היינו יכולים להגיע לסתירה לחסם התחתון של מיון.</t>
  </si>
  <si>
    <t>ערימת מינימום מרושלת היא מבנה נתונים הדומה לערימה שבמקום להחזיר את המינימום מחזירה את אחד מבין הK איברים הכי קטנים בערימה. בנוסף בפעולת המחיקה היא מוחקת את אותו איבר
שהחזירה כמינימום המקורב. הפעולות בהן תומך מבנה הנותנים ה (ADT): 
•  𝐼𝑛𝑠𝑒𝑟𝑡(𝑥) - הכנסה של איבר חדש עם מפתח .x
•  𝐹𝑖𝑛𝑑𝐴𝑝𝑝𝑟𝑜𝑥𝑀𝑖𝑛() - החזרת מינימום מקורב (איבר מבין הk איברים הכי קטנים.)
•  𝐷𝑒𝑙𝑒𝑡𝑒𝐴𝑝𝑝𝑟𝑜𝑥𝑀𝑖𝑛() - מחיקת המינימום המקורב (מחיקת אותו איבר שאם נעשה 𝐹𝑖𝑛𝑑𝐴𝑝𝑝𝑟𝑜𝑥𝑀𝑖𝑛 נקבלו).
עבור k=n/100 , האם ניתן לממש ערימה מרושלת כך שכל הפעולות ב ADT לוקחות זמן אמורטייזד (1)O?</t>
  </si>
  <si>
    <t>כן. הסבר: נמצא את ה n/200 איברים הכי קטנים – נסמן קבוצה זאת ב S .
במשך ה n/200 פעולות הבאות נחזיר איבר שלא נמחק מהקבוצה S (נשים לב שהבכרח קיים איבר כזה). אחריי n/200 נבנה מחדש (נמצא שוב את הקבוצה S לפי האיברים שכרגע נמצאים במבנה הנתונים). נשים לב שהאיבר שמבנה הנתונים מחזיר הוא תמיד בין ה n/100 הכי קטנים.</t>
  </si>
  <si>
    <t>בהינתן ערימת מינימום בינארית חוקית בת n איברים, באילו רמות בעץ יכול להיות ממוקם האיבר השני הקטן ביותר?
מה מספר האיברים המינימלי שתצטרכו לקרוא כדי להבטיח את מציאת האיבר השני הקטן ביותר?
(לצורך המספור, הרמה של השורש היא 0 )</t>
  </si>
  <si>
    <t>רמות: ברמה 1 .
מספר מינימלי של מקומות: 2, האיבר המינימלי יכול להיות רק ברמה 1 וברמה 1 יש שני איברים.</t>
  </si>
  <si>
    <t>בהינתן ערימת מינימום בינארית חוקית בת n איברים. באילו רמות בעץ יכול להיות ממוקם האיבר
השלישי בקטן ביותר?</t>
  </si>
  <si>
    <t>רמות: ברמה 1 או 2 .</t>
  </si>
  <si>
    <t>נתונה ערימת מינימום 𝐻 עם n איברים. הפרוצדורה ⁡𝑚𝑖𝑛(𝐻,𝑘) מדפיסה את 𝑘 האיברים הקטנים ביותר לפי הסדר, מן הקטן לגדול. בסיום הפרוצדורה, 𝐻 היא ערימת מינימום תקינה הכוללת את 𝑛 האיברים המקוריים.
מה הזמן הטוב ביותר בו ניתן לממש את הפרוצדורה:
א. 𝑂(𝑘logn)⁡
ב. 𝑂(𝑘logk)⁡⁡
ג. 𝑂(𝑘)
ד. 𝑂(𝑘+𝑙𝑜𝑔𝑛)
ה. 2 בחזקת K</t>
  </si>
  <si>
    <t>תשובה ב. הסבר: נבנה ערימת עזר אליה נכניס O(k) איברים. בהתחלה מכניסים לערימת העזר את המינימום (אותו ניתן למצוא בזמן קבוע ע"י גישה ישירה לשורש). במשך k צעדים שולפים את המינימום מערימת העזר מחזירים אותו כאחד מה k הכי קטנים ומכניסים את שני ילדיו בערימה הראשונה לערימת המינימום (לוקח זמן קבוע).</t>
  </si>
  <si>
    <t>נתון מערך בגודל 𝑛 של איברים (𝑘𝑒𝑦,𝑣𝑎𝑙𝑢𝑒) כאשר מספר המפתחות השונים במערך הוא 𝑘 )כלומר, אם נמיר את המפתחות במערך לקבוצה, הקבוצה תהיה בגודל 𝑘(. נרצה למיין את המערך במודל ההשוואות, כך שהמיון יהיה יציב.
תזכורת: מיון נקרא מיון יציב אם הוא שומר על הסדר של איברים עם אותו המפתח גם לאחר המיון.
שימו לב: ללא התייחסות ליציבות בהסבר הפתרון, יינתן ניקוד חלקי בלבד.
א. כאשר 𝑘=√𝑛/log𝑛 ניתן למיין יציב את המערך בזמן O(√𝑛log𝑛) בעזרת עץ חיפוש מאוזן.
ב. כאשר 𝑘=log𝑛 ניתן למיין יציב את המערך בזמן (O(𝑛logloglog𝑛 בעזרת עץ חיפוש מאוזן.
ג. כאשר 𝑘=𝑛/log𝑛 , ניתן למיין יציב את המערך בסיבוכיות (O(𝑛 בתוחלת בעזרת טבלת האש.
ד. כאשר 𝑘=𝑛 , ניתן למיין יציב את המערך בסיבוכיות O(𝑛loglog𝑛) בתוחלת בעזרת טבלת האש.</t>
  </si>
  <si>
    <t>פתרון: ג. הסבר: נאתחל טבלת האש A בגודל לפחות 𝑘 (במטרה שעבור כל מפתח יחזיק מצביע לרשימה מקושרת של האיברים במערך עם אותו המפתח, לפי סדר הופעתם במערך). בנוסף נאתחל מערך B בגודל 𝑘 .
נעבור על המערך המקורי לפי הסדר, ועבור כל איבר, נחפש ב A לפי 𝑘𝑒𝑦 . אם הוא קיים, נכניס את האיבר לסוף הרשימה המקושרת שהאיבר מצביע אליו. אם הוא לא קיים, נוסיף את המפתח, ונאתחל עבור אותו המפתח רשימה מקושרת ונכניס את האיבר לשם. בנוסף בזמן המעבר, אם כאשר אנחנו מחפשים אנחנו לא מוצאים את המפתח, נוסיף את המפתח למערך B . נמיין את המערך B , בזמן 𝑂((𝑛\log𝑛)*log(𝑛\log𝑛))=𝑂(𝑛) . נעבור על B לפי הסדר, נחפש את
הרשימה המקושרת המתאימה למפתח בטבלת ההאש, ונוסיף את איברי הרשימה המקושרת לפי הסדר למערך המקורי (או למערך פלט חדש).</t>
  </si>
  <si>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איזה מבנה נתונים כדאי לנו לבחור?
א. ערימה בינארית.
ב. טבלת Perfect Hash .
ג. רשימה במימוש מערך המכפיל את עצמו.
ד. עץ חיפוש מאוזן, לדוגמה AVL</t>
  </si>
  <si>
    <t>ד. הסבר: נרצה לבחור עץ מאוזן, שייתן לנו 𝑂(log𝛼) בתוחלת לפעולה, ו( 𝑂(log𝑛 ב wc.</t>
  </si>
  <si>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במקרה הגרוע ביותר של הכנסה/חיפוש/הוצאה כתלות ב 𝛼 ובמספר האיברים במבנה הנתונים )לא בתוחלת). 
א. ( 𝑂(nlog𝛼
ב. (𝑂(log𝑛
ג. 𝑂(𝛼𝑛)
ד. 𝑂(𝛼log𝑛)</t>
  </si>
  <si>
    <t>ב. הסבר: במקרה הגרוע ביותר כל האיברים ישבו באותו התא, והסיבוכיות תהיה log מספר האיברים הכולל.</t>
  </si>
  <si>
    <t>לאחר שהסתכלנו על טבלת האש בשיטת Chaining , חשבנו שכדאי לנו להחליף את בחירת מבנה הנתונים (מרשימה מקושרת, למבנה נתונים אחר) כדי להשיג סיבוכיות אסימפטוטית טובה יותר בהכנסה, חיפוש ומחיקה מטבלת ההאש, גם במקרה הגרוע ביותר (לכל 𝑙𝑜𝑎𝑑𝑓𝑎𝑐𝑡𝑜𝑟 (, וגם בתוחלת (עבור 𝑙𝑜𝑎𝑑𝑓𝑎𝑐𝑡𝑜𝑟&gt;1 ). נסמן 𝑙𝑜𝑎𝑑𝑓𝑎𝑐𝑡𝑜𝑟=𝛼. מה הסיבוכיות בתוחלת של הכנסה/חיפוש/הוצאה, כתלות ב 𝛼=𝑙𝑜𝑎𝑑𝑓𝑎𝑐𝑡𝑜𝑟 ? )התשובה ההדוקה ביותר).
א. ( 𝑂(loglog𝛼
ב. (𝑂(𝛼log𝛼
ג. 𝑂(𝛼)
ד. 𝑂(log𝛼)</t>
  </si>
  <si>
    <t>ד. הסבר: עבור עץ מאוזן, הסיבוכיות בתוחלת של פעולה תהיה תוחלת של ( log מספר האיברים בתא). מהתזכורת נקבל שהביטוי הנ"ל קטן או שווה ל- log של (תוחלת מספר האיברים בתא). כידוע, תוחלת מספר האיברים בתא הוא 𝛼 , ולכן נקבל שהסיבוכיות בתוחלת היא log𝛼⁡ . התוחלת היא על פוקנציות ההאש מהמשפחה האוניברסלית.</t>
  </si>
  <si>
    <t>בכיתה למדנו על 𝑠𝑒𝑙𝑒𝑐𝑡 דטרמיניסטי שביצע 𝑝𝑎𝑟𝑡𝑖𝑡𝑖𝑜𝑛 תוך שמוש ב 𝑝𝑖𝑣𝑜𝑡 שנבחר על ידי אלגוריתם חציון-החציונים.
הניחו שבתור תחליף ל 𝑝𝑖𝑣𝑜𝑡 הנ"ל קיבלתם אלגוריתם חדש הנקרא 𝐺𝑜𝑜𝑑𝑃𝑖𝑣𝑜𝑡 המקבל מערך המכיל 𝑛 מפתחות ומחזיר את הערך של האיבר ה 0.05𝑛 הקטן ביותר. לדוגמה על מערך בגודל 1000 הוא יחזיר את ערך המפתח ה 50 הקטן ביותר. 𝐺𝑜𝑜𝑑𝑃𝑖𝑣𝑜𝑡 אינו קורא ל 𝒔𝒆𝒍𝒆𝒄𝒕 )בנגוד לאלגוריתם חציון החציונים). הניחו שזמן הריצה של 𝐺𝑜𝑜𝑑𝑃𝑖𝑣𝑜𝑡 חסום על ידי 𝑐1*𝑛 זמן הריצה של 𝑝𝑎𝑟𝑡𝑖𝑡𝑖𝑜𝑛 חסום על ידי 𝑐2*𝑛 . אנחנו מעוניינים בעלות של select המשתמש ב 𝐺𝑜𝑜𝑑𝑃𝑖𝑣𝑜𝑡 .
בחרו את התשובה ההדוקה ביותר.
זמן הריצה של האלגוריתם חסום על ידי:
א. 𝑐𝑛
ב. 𝑐⁡𝑛𝑙𝑜𝑔𝑛
ג. 𝑐𝑛2
ספקו הוכחה באינדוקציה ואת ערכו של 𝐜 הנמוך ביותר (כפונקציה של 𝑐1,𝑐2 ונתוני הבעייה).</t>
  </si>
  <si>
    <t>החסם ההדוק ביותר הינו: א. הערך הינו c הינו: 20. הוכחה: אינדוקציה - T(n) &lt; (c1+c2)n + t(0.95n)
T(n) &lt; (c1+c2)n + 0.95*20 (c1+c2)n = 20(c1+c2)n</t>
  </si>
  <si>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בשימוש ב 𝑝𝑎𝑟𝑡𝑖𝑡𝑖𝑜𝑛 וב 𝐺𝑟𝑒𝑎𝑡𝑃𝑖𝑣𝑜𝑡 הינה ב Worst case :
א. Θ(𝑛)
ב. Θ(0.9𝑛)
ג. Θ(𝑛𝑙𝑜𝑔𝑛)
ד. Θ(𝑛^2)</t>
  </si>
  <si>
    <t>הסיבוכיות הינה: 𝜃(𝑛𝑙𝑜𝑔𝑛). הוכחה:
עומק העץ חסום מלמעלה על ידי 𝑙𝑜𝑔1/0.95𝑛 ומלמטה על ידי 𝑙𝑜𝑔1/0.05𝑛 . כלומר בין העומקים האלו רוחב השכבה הוא חלקי. לכן חסמים של רוחב כולל של כל השכבות הינם 𝑛𝑙𝑜𝑔1/0.95𝑛 𝑛𝑙𝑜𝑔1/0.05𝑛</t>
  </si>
  <si>
    <t>במטרה לשפר את 𝑞𝑢𝑖𝑐𝑘𝑠𝑜𝑟𝑡 יוצרה פונקציה חדשה 𝐺𝑟𝑒𝑎𝑡𝑃𝑖𝑣𝑜𝑡 המקבלת מערך המכיל n מפתחות ומחזירה ערך אקראי המתפלג יוניפורמית בין כל ערכי המפתחות שהם גדולים או שווים לאיבר ה ⌈0.05n⌉ בגודלו וקטנים או שווים מהאיבר ה ⌊0.95𝑛⌋ בגודלו. הפונקציה 𝑝𝑎𝑟𝑡𝑖𝑡𝑖𝑜𝑛 מבצעת את החלוקה על ערך זה. במילים אחרות בניגוד ל 𝑟𝑎𝑛𝑑𝑝𝑎𝑟𝑡𝑖𝑡𝑖𝑜𝑛 , שבוחר פיבוט באקראי מכל האיברים, בחירה זו מתפרשת רק על 90% מהאיברים שצוינו לעיל.
עלותה של 𝑔𝑟𝑒𝑎𝑡𝑝𝑖𝑣𝑜𝑡 הינה (1)O ועלות ה 𝑝𝑎𝑟𝑡𝑖𝑡𝑖𝑜𝑛 היא לינארית.
סיבוכיות 𝑞𝑢𝑖𝑐𝑘𝑠𝑜𝑟𝑡 בשמוש ב 𝑝𝑎𝑟𝑡𝑖𝑡𝑖𝑜𝑛 וב 𝐺𝑟𝑒𝑎𝑡𝑃𝑖𝑣𝑜𝑡 הינה ב Average case :
א. Θ(𝑛)
ב. Θ(0.9𝑛)
ג. Θ(𝑛𝑙𝑜𝑔𝑛)
ד. Θ(𝑛^2)
ה. אי אפשר לדעת</t>
  </si>
  <si>
    <t>הסיבוכיות הינה: 𝜃(𝑛𝑙𝑜𝑔𝑛). הוכחה: סיבכיות תוחלת חסומה מלמעלה על ידי worst case . תוחלת חסומה מלמטה על ידי זמן הריצה הטוב ביותר שהוא כשהפיבוט הוא החציון וגם זה nlogn.</t>
  </si>
  <si>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5 &lt; |𝑠𝑖𝑧𝑒(𝐴)−𝑠𝑖𝑧𝑒(𝐵)|⁡ ⁡ 
1. מה העלות המירבית של פעולת 𝑢𝑛𝑖𝑜𝑛 ? )נספרת במספר האיברים העוברים קבוצה)
2. מה תהיה הסיבוכיות של n פעולות 𝑢𝑛𝑖𝑜𝑛 ? )סדר גודל)</t>
  </si>
  <si>
    <t>עלות מירבית לפעולת union (מספר האיברים העוברים קבוצה): n/2+2
נימוק:
Merge n/2-2 with n/2+2
עלות n פעולות union (סדר גודל) : O(nlog n)
נימוק: For each element each transfer increases its group by factor of at least 1.5 (if size &gt; 10) so # times it transfers is at most 10 + log (base 1.5) of n</t>
  </si>
  <si>
    <t>בכיתה למדנו על Union-Find במימוש ברשימות מקושרות. במימוש זה פעולת ה 𝑢𝑛𝑖𝑜𝑛 הייתה יקרה ו 𝑓𝑖𝑛𝑑 הייתה זולה.
תזכורת: בפעולת איחוד מוזגה הרשימה הקצרה אל הארוכה. לכל רשימה היה מנהיג שכל איברי הרשימה הצביעו אליו. בפעולת union , האלגוריתם עבר על כל האיברים ברשימה הקצרה ועדכן את המצביע שלהם למנהיג הרשימה הארוכה. פעולת find החזירה את המנהיג בזמן (1)O .
נעסוק ב Find -Union רשלני. בו מקפידים על מיזוג הרשימה הקצרה אל הארוכה רק אם מתקיים תנאי מסוים לגבי שתי הרשימות A ו B . אחרת ממזגים שרירותית אחת אל השנייה.
אם תנאי ה"הקפדה" הינו 𝑠𝑖𝑧𝑒(A) / 𝑠𝑖𝑧𝑒(B)⁡ ⁡&gt;⁡ 5 או ⁡⁡𝑠𝑖𝑧𝑒(𝐴)/𝑠𝑖𝑧𝑒(𝐵)⁡ &lt; ⁡1/5:
1. מה העלות המירבית של פעולת 𝑢𝑛𝑖𝑜𝑛 ? )נספרת במספר האיברים העוברים קבוצה)
2. מה תהיה הסיבוכיות של n פעולות 𝑢𝑛𝑖𝑜𝑛 ? )סדר גודל)</t>
  </si>
  <si>
    <t>עלות מירבית לפעולת 𝑢𝑛𝑖𝑜𝑛 )מספר האיברים העוברים קבוצה): 5/6n
Merge 5/6 with 1/6 n ➔ costs 5/6n
נימוק:
עלות 𝑛 פעולות 𝑢𝑛𝑖𝑜𝑛 )סדר גודל): (O(nlogn
נימוק:
For each element each transfer increases its group by factor of at least 6/5 so # transfers is at most log (base 1.2) of n</t>
  </si>
  <si>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יכולה להמשיך לשלב השני של האלגוריתם (ייצור טבלאות ברמה השניה).</t>
  </si>
  <si>
    <t>לא. הסבר: סכום הריבועים הינו לפחות 10n בערך. בוודאות גדול מ n . עפ האלגוריתם חוזרים על שלב 1 .
col| &gt;= (n/10)*(10*9/2) = n*9/2 &gt; n       -&gt;       algorithm will rpeat stage 1|.</t>
  </si>
  <si>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על פי האלגוריתם אליס תבצע שוב את השלב הראשון של אלגוריתם, ותוחלת מספר הנסיונות הכולל של ביצוע השלב הראשון (כולל הניסיון שכבר נעשה)
הינו, בסיטואציה הזו, חסום על ידי 2 .</t>
  </si>
  <si>
    <t>לא. הסבר: היא תבצע את השלב אבל התוחלת חסומה על ידי 3 .
( one so far + 2 for expected future)</t>
  </si>
  <si>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תוחלת מספר הניסיונות להשגת פונקציות טובות בשלב השני יהיה גדול מ 10.</t>
  </si>
  <si>
    <t>לא. הסבר: התוחלת חסומה על ידי 2.</t>
  </si>
  <si>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הגודל הכולל של הטבלאות יהיה בוודאות ריבועי ב n.</t>
  </si>
  <si>
    <t>לא. הסבר: אם כולם מפוזרים אחיד מקבלים n*10 . אם כולם מרוכזים בתא אחד מקבלים n^2.</t>
  </si>
  <si>
    <t>אליס הריצה את האלגוריתם Perfect Hash שנלמד בכיתה ( Two Level Hashing ) על 𝑛&gt;100,000 מפתחות. בהרצת החלק הראשון של האלגוריתם )יצירת הטבלה הראשית) בחרה אליס פונקציה ℎ1 וגילתה שכל 0.9𝑛 התאים האחרונים בטבלה ריקים (לא ידוע לנו מה קרה בתאים הראשונים). עני נכון\לא נכון ונמקי: לאור תוצאות השלב הראשון, במידה ואליס תמשיך ישירות לשלב השני, אזי הפיזור של המפתחות ב 0.1n התאים הראשונים יקבע אם הגודל הכולל של הטבלאות בשלב השני הינו ריבועי או לא. כלומר יש מצבים בהם הגודל הזה ריבועי ויש מצבים בהם אינו ריבועי.</t>
  </si>
  <si>
    <t>כן. הסבר: אם כולם מפוזרים אחיד מקבלים n*10 . אם כולם מרוכזים בתא אחד מקבלים n^2.</t>
  </si>
  <si>
    <t>עץ 𝑚𝑎𝑣𝑙 הוא עץ חיפוש בינארי.
הוא מקיים את התכונות הבאות :
1. לכל עלה יש דרגה 0 .
2. לכל עלה חיצוני יש דרגה -1
3. כל צומת פנימית יש ילדים עם הפרשי דרגות 1-1 או 2-2 .
עבור 𝑘 זוגי, מה הוא מספר העלים המקסימלי של עץ 𝑚𝑎𝑣𝑙 שדרגת השורש שלו היא 𝑘? מה הוא מספר העלים המינימלי של עץ 𝑚𝑎𝑣𝑙 שדרגת השורש שלו היא 𝑘 ?</t>
  </si>
  <si>
    <t>מספר מקסימלי: ⁡ 2 בחזקת K.
נימוק קצר: נעשה עץ בינארי מלא , עם הפרשי דרגות של 1-1 .
ניתן להוכיח את החסם פורמלית באינדוקציה על k. מספר מינימלי: 2 בחזקת K\2
נימוק קצר: נעשה עץ בינארי מלא , עם הפרשי דרגות של 2-2 .
ניתן להוכיח את החסם פורמלית באינדוקציה על K.</t>
  </si>
  <si>
    <t>עץ 𝑣𝑎𝑣𝑙 הוא עץ חיפוש בינארי.
הוא מקיים את התכונות הבאות :
1. לכל עלה יש דרגה 0 .
2. לכל עלה חיצוני יש דרגה -1
3. כל צומת פנימית יש ילדים עם הפרשי דרגות 1-2 , 2-2 או 2-4
מה היא נוסחת הנסיגה שמייצגת את מספר הצמתים הפנימיים המינימלי (לא חיצוניים) של עץ 𝑣𝑎𝑣𝑙 שדרגת השורש שלו היא 𝑘 ?</t>
  </si>
  <si>
    <t>𝐹(𝑛)=𝐹(𝑛−2)+𝐹(𝑛−4)+1,𝐹(0)=𝐹(1)=𝐹(2)=1,𝐹(−1)=0</t>
  </si>
  <si>
    <t>עץ 𝑛𝑎𝑣𝑙 הוא עץ חיפוש בינארי.
הוא מקיים את התכונות הבאות :
1. לכל עלה יש דרגה 0 .
2. לכל עלה חיצוני יש דרגה -1
3. כל צומת פנימית יש ילדים עם הפרשי דרגות 1-1, 1-2, 1-3, … 1-n .
מה הוא מספר הצמתים הפנימיים המינימלי (לא חיצוניים) של עץ 𝑛𝑎𝑣𝑙 שדרגת השורש שלו היא 𝑘 ? מה היא הסיבוכיות חיפוש של איבר בעץ חיפוש בינארי מסוג 𝑛𝑎𝑣𝑙 )במקרה הגרוע ביותר(?</t>
  </si>
  <si>
    <t>מספר: k
נימוק קצר: העץ יכול להיות רשימה מקושרת. כשהבנים של כל צומת בדרגה i הם עלה חיצוני, וצומת בדרגה i-1 . הפרשי הדרגות של צומת כזו הם i+1,1.
סיבוכיות: 𝑂(𝑛)
נימוק קצר: עץ כמתואר בסעיף א' הוא רשימה מקושרת. בעצים כאלה חיפוש הוא ב O(n) כמו ברשימה מקושרת.</t>
  </si>
  <si>
    <t>נתונים 2 מספרים בתחום [0,1]. הפעולות היחידות שניתן לבצע על המספרים הם השוואות והעתקות. כל פעולה כזאת לוקחת זמן קבוע. תאר/י אלגוריתם יעיל ככל האפשר למיון המספרים. מה סיבוכיות האלגוריתם?</t>
  </si>
  <si>
    <t>מאחר ומותר לעשות רק השוואות והעתקות החסם התחתון הוא O(nlogn). ולכן ניתן להשתמש באלגוריתם שראינו בכיתה למיין בזמן זה של המערך עם n איברים לדוגמה heapsort.</t>
  </si>
  <si>
    <t>האם האלגוריתם שנתת בסעיף הקודם הוא אופטימלי? (תחת ההנחה שהפעולות היחידות השוואות והעתקות.) </t>
  </si>
  <si>
    <t>מאחר והפעולות היחידות שניתן לעשות זה השוואות והעתקות, אנחנו נמצאים במגרש של מודל ההשוואות. יש n! סידורים אפשריים ולכן החסם התחתחון הוא גובה העץ שהוא log(n!) = O(nlogn).</t>
  </si>
  <si>
    <t>נתונים n מספרים בתחום [0,1]. נתון שהמרחק בין כל שני מספרים בקלט הוא לפחות 1/3. תאר/י אלגוריתם יעיל ככל האפשר למיון המספרים. מה סיבוכיות האלגוריתם? ניתן כאן להשתמש בפעולות שאינן השוואות או העתקות, כמו למשל חיבור, חיסור, כפל, חילוק, ועיגול למספר שלם.</t>
  </si>
  <si>
    <t xml:space="preserve">ראשית נכפיל את כל המספרים בn^3 ונקבל n מספרים בתחום [0, n^3] שמרחקם לפחות 1. כעת נוכל לעגל את כולם (למשל כלפי מטה) והמרחק מבטיח שנקבל n מספרים שלמים שינועו בתחום  [0, n^3]. נעשה זאת במערך נפרד ואת כל הפסולת שעשינו על המערך החדש נעשה באותו סדר על הישן, ובכל נוכל למיין את המספרים הנתונים באופן חח"ע. כעת נוכל, בדומה למה שראינו בתרגול, להסתכל עליהם בבסיס n כך שכל מספר עכשיו הוא בתחום  [0, n] בעל 3 ספרות - ולהשתמש בradixsort שזמן הריצה שלו O(3(n+n)) = O(n) (כל שאר הפעולות בפרק עלי גם הן (O(n. </t>
  </si>
  <si>
    <t>האם האלגוריתם שנתת בסעיף הקודם הוא אופטימלי?</t>
  </si>
  <si>
    <t>כן, מאחר ונתונים n מספרים,, לא ניתן למיינם מבלי לפחות לעבור על כולם - שכאמור לוקח O(n).</t>
  </si>
  <si>
    <t>הוכח או הפרך: בהינתן עץ WAVL ואיבר x שאינו בעץ, ניתן למצוא את מקום ההכנסה של x בזמן amortized של O(loglogn).</t>
  </si>
  <si>
    <t>הפרכה: נעשה רדוקציה לבעיית המיון. נניח שניתן ונמיין מערך בפחות מ O(nlogn) שהראנו בכיתה שזה חסם תחתון. בהינתן מערך, נעבור על כל איבריו, ונמצא עבור כל אחד את מיקום ההכנסה בעץ ואז נכניס אותו. ידוע שסדרה של הכנסות כאשר ידוע מיקום ההכנסה ב WAVL הוא O(n) אמורטייזד לפעולה ולכן עבור n הכנסות נשלם O(nloglogn). לאחר שבנינו את העץ נעבור עליו ב in order walk ונפלוט את האיברים למערך באופן ממויין O(n). בסך הכל קיבלנו שסיבוכיות המיון היא O(n) + O(n) + O(nloglogn) = O(nloglogn), בסתירה לחסם התחתון שראינו בכיתה.</t>
  </si>
  <si>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כל אדם יכול להגיש לכל היותר הצעה אחת לכל מוצר. תן/י מימוש דטרמיניסטי יעיל ככל האפשר לממשק שהוגדר. מהו זמן ה-worst-case הטוב ביותר הדרוש לכל פעולה? </t>
  </si>
  <si>
    <t>נשמור מערך בגודל m כאשר כל תא מצביא לעץ מאוזן (AVL). כמו כן נשמור עץ נוסף של ההצעות של כל המוצרים. בכל העצים נשמור מצביע למקסימום. Init - אתחול המערך. Add_bid\retract_bid - כאשר בכל הכנסה\מחיקה אנחנו מכניסים לעץ הגדול וגם לעץ המתאים למוצר. עדכון מצביע המקסימום גם הוא נבלע בlogn בכל עץ O(logn). וhighest_bid_for_product\highest_bid_overall - החזרת ערך המצביעים המתאימים  (1)O.</t>
  </si>
  <si>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 כל אדם יכול להגיש לכל היותר הצעה אחת לכל מוצר. תן/י מימוש דטרמיניסטי יעיל ככל האפשר לממשק שהוגדר. מהו זמן הamortized הטוב ביותר הדרוש לכל פעולה? </t>
  </si>
  <si>
    <t xml:space="preserve">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t>
  </si>
  <si>
    <t xml:space="preserve">נרצה לתחזק מבני נתונים למכירה פומבית. יש m מוצרים m-1,..,0 ויש n אנשים. לכל איש יש שם משלו שנכנס למילת מחשב. מבנה הנתונים צריך לתמוך בפעולות הבאות: 
(init_auction(m - אתחל את מבנה הנתונים.(add_bid(person_name,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דטרמיניסטי יעיל ככל האפשר לממשק שהוגדר. מהו זמן הamortized הטוב ביותר הדרוש לכל פעולה? </t>
  </si>
  <si>
    <t>נשמור מערך בגודל m כאשר כל תא מצביע לערימת פיבונאצ'י מקסימום. Init - אתחול מערך בגודל m + נחזיק ערימת מקסימום כללית. Add_bid - גישה לתא המתאים במערך וinsert ב (1)O אמורטייזד ל2 הערימות.  Highest_bid_for_product\highest_bid_overall - 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</si>
  <si>
    <t xml:space="preserve">נרצה לתחזק מבני נתונים למכירה פומבית. יש m מוצרים ויש n אנשים. m אינו ידוע מראש. המזהים של המוצרים אינם בהכרח המספרים מ0 ל m-1. לכל איש יש שם משלו שנכנס למילת מחשב. מבנה הנתונים צריך לתמוך בפעולות הבאות: 
()init_auction - אתחל את מבנה הנתונים. (add_bid(person_name, product_id, price - מוסיף הצעה (bid) של אדם למוצר. (highest_bid_for_product(product_id - מחזיר את ההצעה הגבוהה ביותר שנתנה עד 
כה למוצר מסוים. ()highest_bid_overall - מחזיר את ההצעה הגבוהה ביותר עבור כל המוצרים. אם לא ניתנה עדיין הצעה למוצר, פעולת (highest_bid_for_product(product_id צריכה להגיד זאת. פעולת (retract_bid(bid – מבטל הצעה שניתנה (bid הוא עצם שנוצר ע"י פעולת add_bid.). פעולת ( increase_bid(bid, delta - מעלה הצעה בdelta כאשר delta &gt; 0.פעולת (merge_products(product_idl, product_id2 – הפעולה מאחדת שני מוצרים. המזהה של המוצר המאוחד הוא product_id1. המוצר product_id2 מפסיק להתקיים. לכל אדם יכולה להיות יותר מהצעה אחת למוצר הממוזג. תן/י מימוש הסתברותי יעיל ככל האפשר לממשק שהוגדר. מהו זמן הamortized הטוב ביותר הדרוש לכל פעולה? </t>
  </si>
  <si>
    <t>נשתמש בפונקציית hash ממשפחה אוניברסלית. ידוע שבשימוש בhash פעולת ההכנסה\חיפוש לוקחת (1)O בתוחלת. המפתח של כל תא בטבלה יהיה מזהה המוצר והערך יצביע לערימת פיבונאצ'י מקסימום. Init - אתחול טבלת hash + נחזיק ערימת מקסימום כללית. Add_bid - חיפוש בטבלה וinsert ב (1)O אמורטייזד ל2 הערימות.  Highest_bid_for_product\highest_bid_overall - חיפוש בטבלה והחזרת הערכים ממצביעי המקסימום  (1)O אמורטייזד. increase_bid - ב (1)O אמורטייזד. retract_bid - בO(logn) אמורטייזד, כמו ביצוע delete_min. וmerge_products - נעשה בדומה לאיחוד של ערימות, נמזג את ערימה של מוצר 2 לערימה של מוצר 1, נעדכן את המקסימום במידת הצורך  (1)O.</t>
  </si>
  <si>
    <t>בשאלה זאת נעסוק במבנה נתונים לאכסון קבוצת איברים D. לכל איבר x בקבוצה יש מפתח שהוא מספר שלם במילת מחשב. נניח שהמפתחות של כל האיברים ב-D שונים זה מזה. הפעולות שניתן לבצע על מבנה הנתונים הן:
- Insert(D, x) - הכנס את האיבר x ל-D. (ניתן להניח ש-x אינו ב-D).
- FindByKey(D, k) - מחזיר את האיבר ב-D עם מפתח k, אם קיים כזה, אחרת null.
- FindByIndex(D, i) - מחזיר את האיבר ה-iי שהוכנס ל-D.
למשל אם הוכנסו n איברים ל-D, אז FindByIndex(D, n) יחזיר את האיבר האחרון שהוכנס, FindByIndex(D, 3) יחזיר את האיבר השלישי שהוכנס.
נסמן ב-n את מספר האיברים ב-D.
א. תאר/י מבנה נתונים דטרמיניסטי שבו FindByIndex(D, i) ו-Insert(D, x) לוקחות O(1) זמן, ו-FindByKey(D, k)- לוקחת O(n) זמן. גודל הזיכרון שבו משתמש מבנה הנתונים צריך להיות O(n). החסמים הנדרשים הם worst-case. (ניקוד חלקי ניתן לפתרונות שמציגים ניתוח חסמי amortized).</t>
  </si>
  <si>
    <t>א.
נשתמש במערך עם אלגוריתמיקת resizing שנלמדה בהרצאה על amortization – במקום לחכות שיתמלאו ואז להעביר הכל בבת אחת למערך גדול יותר, לדאוג להעביר את המידע בחלקים: כל פעם שעושים אינסרט אחרי שהמערך הנוכחי התמלא ביותר מחצי, לפנות שני מקומות במערך החדשף ולהעביר אליו שני איברים.
Insert: כפי שאמרנו – מקצים בתהחלה מערך ריק בגודל קבוע (למשל 4), כל הכנסה לאחר שהתמלא בחציו לפנות שני מקומות במערך חדש ולהכניס אליהם שני איברים, כך שהמערך הנוכחי מתמלא, המערך החדש מלא בדיוק בחציו, ומוכן בכדי שנעבור לעבוד איתו. מספר קבוע של פעולות ולכן O(1) worst case (ההכנסות הן כמובן Insert-last). 
FindByKey: עוברים על כל איברי המערך עד שמוצאים, או עד שנגמר המערך. O(n) W.C..
FindByIndex: זה מערך. O(1) W.C..</t>
  </si>
  <si>
    <t>ב. תאר/י מבנה נתונים דטרמיניסטי שבו Insert(D, x) ו-FindByKey(D, k)- לוקחות O(logn) זמן, ו-FindByIndex(D, i) לוקחת O(1) זמן. גודל הזיכרון שבו משתמש מבנה הנתונים צריך להיות O(n). החסמים הנדרשים הם worst-case. (ניקוד חלקי יינתן לפתרונות שמציגים חסמי amortized).</t>
  </si>
  <si>
    <t>ב. 
נבנה מערך כמו מקודם, אל כעת גם נבנה עץ WAVL שיחזיק את האיברים (ממוין לפי הkeys). 
הכנסה: בO(1) למערך ובO(logn) לעץ. סה"כ lon(n) W.C..
חיפוש לפי מפתח: בעץ לוקח O(logn) W.C..
חיפוש לפי אינדקס: O(1) במערך.</t>
  </si>
  <si>
    <t xml:space="preserve">נשנה עתה את הפעולה Insert(D, x) כך שתקבל פרמטר נוסף i באופן הבא:
- Insert(D, i, x) מכניסה את x למבנה הנתונים עם index i (נניח ש-i הוא לפחות 1, ושהוא קטן או שווה לכל מספר האיברים ב-D ועוד 1). כלומר האינדקס של איבר במבנה הנתונים לא נקבע על פי מספרה הסידורי של פעולת ה-Insert שהכנסיה אותו אלא ישירות על פי הפרמטר הנוסף. יש לשם לב שהכנסת איבר עם אינדקס i מגדילה ב-1 את האינדקסים של האיברים עם אינדקס גדול או שווה לi. 
ג. תאר מבנה נתונים דטרמיניסטי שבו Insert(D, i, x) לוקחת O(log(i + 1)) זמן amortized, FindByIndex(D,i) לוקחת O(log(i+1)) זמן worst-case ו-ammortized, ו-FiindByKey(D,k) לוקחת O(n) זמן worst-case ו-ammortized. גודל הזכרון שבו משתמש מבנה הנתונים צריך להיות O(n). </t>
  </si>
  <si>
    <t>ג.
נשתמש בFingerSearchTree שנלמד בכיתה – עץ WAVL עם פוינטר למינימום ושומר subtreesize (ממוין לפי האינדקסים). בכיתה ובשיעורי הביתה ראינו חסם O(log(i+1)) אמורטייזד לאינסרט (By Index), וחסם O(log(i+1)) במקרה הגרוע לחיפוש (By-Index). חיפוש לפי מפתח ייבצע ע"י קריאת In-Order של העץ. O(n) W.C..</t>
  </si>
  <si>
    <t xml:space="preserve">ד. תאר מבנה נתונים דטרמיניסטי שבו שלושת הפעולות Insert(D,i,x), FindByIndex(D, i), FindByKey(D, k) לוקחת O(logn) זמן worst-case. גודל הזיכרון שבו משתמש מבנה הנתונים צריך להיות O(n). </t>
  </si>
  <si>
    <t>ד.
נבנה שני עצי WAVL, אחד ממוין לפי אינדקס והשני לפי מפתח. הכנסה לכל עץ היא O(logn) ולכן בשניהם היא גם כן. חיפוש יתבצע בעץ המתאים, O(logn) W.C.</t>
  </si>
  <si>
    <t xml:space="preserve">ה. תאר מבנה נתונים שבו Insert(D,i,x) לוקחת O(log(i+1)) זמן amortized, FindByIndex(D,i) לוקחת O(log(i+1)) זמן worst-case ו-amortized, וFindByKey(D,k) לוקחת O(1) זמן בתוחלת. גודל הזכרון בו משתמש מבנה הנתונים צריך להיות O(n). </t>
  </si>
  <si>
    <t xml:space="preserve">ה.
נשמור שני מבני נתונים – עץ FingerSearch ממוין לפי אינדקס, טבלת hash למפתחות עם chaining שמכניס לראש הרשימה (זה O(1) W.C. שלא פוגע בסיבוכיות ההכנסה), שמתחילה בגודל קבוע, אך כאשר קבוע העמוס גדול מחצי, עושים rehashing לטבלה גדולה פי 2 (לכן הסיבוכיות של ההכנסה היא אמורטייזד: insert לעץ לוקח O(log(i+1)) אמורטייזד, ולטבלה O(1) אמורטייזד. ביחד O(log(i+1)) אמורטייזד). 
FindByIndex בעץ לוקח O(log(i+1)) W.C. לפי אלגוריתמיקת עץ FingerSearch.
FindByKey יקח O(1) בתוחלת כי טבלת הhash גדולה מספיק (עמוס קטן שווה מ0.5 גודד שבתוחלת יש פחות מהתנגשות אחת בכל תא בטבלה. </t>
  </si>
  <si>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</sst>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center" readingOrder="2"/>
    </xf>
    <xf numFmtId="0" fontId="1" fillId="0" borderId="0" xfId="0" applyFont="1"/>
  </cellXfs>
  <cellStyles count="1">
    <cellStyle name="Normal" xfId="0" builtinId="0"/>
  </cellStyles>
  <dxfs count="4">
    <dxf>
      <numFmt numFmtId="0" formatCode="General"/>
    </dxf>
    <dxf>
      <numFmt numFmtId="0" formatCode="General"/>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2"/>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DE10D0-4D34-4AFB-A4FF-15D43EB9A3B2}" name="Table1" displayName="Table1" ref="A1:N298" totalsRowShown="0">
  <autoFilter ref="A1:N298" xr:uid="{FCDE10D0-4D34-4AFB-A4FF-15D43EB9A3B2}"/>
  <tableColumns count="14">
    <tableColumn id="14" xr3:uid="{FB3D5AD2-D942-468A-9C9B-A7417F4FECC4}" name="id" dataDxfId="3">
      <calculatedColumnFormula>_xlfn.CONCAT(Table1[[#This Row],[year]],Table1[[#This Row],[semester]],Table1[[#This Row],[moed]],Table1[[#This Row],[question]],Table1[[#This Row],[section]])</calculatedColumnFormula>
    </tableColumn>
    <tableColumn id="1" xr3:uid="{51F64476-B78D-4407-9D97-309A1CEB5C97}" name="year"/>
    <tableColumn id="2" xr3:uid="{02B3E4BB-E2B5-4B17-B46B-5BF337DCF647}" name="semester"/>
    <tableColumn id="3" xr3:uid="{ECCF3C0D-7CAC-41FA-BF3E-EC61AD687BC6}" name="moed"/>
    <tableColumn id="4" xr3:uid="{76A1A6F1-5FEE-442E-97A4-CE5B89A63D92}" name="question"/>
    <tableColumn id="5" xr3:uid="{A0542740-4BD4-41FD-8C82-0B00E58C1C06}" name="section"/>
    <tableColumn id="6" xr3:uid="{53FCEB0B-AD96-4451-A3BD-D7616A9E2B00}" name="points"/>
    <tableColumn id="7" xr3:uid="{C8DC6D56-868E-4710-9BB7-20EB2BC87AAF}" name="question_hebrew" dataDxfId="2"/>
    <tableColumn id="8" xr3:uid="{E8A2BC7A-045F-47F4-9508-F19494970CFB}" name="solution_hebrew"/>
    <tableColumn id="9" xr3:uid="{43F5A17E-9E19-4D0E-80FC-5AD29673C6F0}" name="avg_score"/>
    <tableColumn id="10" xr3:uid="{043D3D42-CE98-434F-BF9B-DDA3AB223C45}" name="std_score"/>
    <tableColumn id="11" xr3:uid="{C95088E9-E3F3-4E03-995F-A9DAAF746520}" name="max_score"/>
    <tableColumn id="12" xr3:uid="{79E60C76-6CF5-4222-8F63-EA1038F20329}" name="avg_score_norm" dataDxfId="1">
      <calculatedColumnFormula>IFERROR(Table1[[#This Row],[avg_score]]/Table1[[#This Row],[max_score]]*100,"")</calculatedColumnFormula>
    </tableColumn>
    <tableColumn id="13" xr3:uid="{B8746058-36A1-47DB-8D4C-6AB8BD4757B1}" name="std_score_norm" dataDxfId="0">
      <calculatedColumnFormula>IFERROR(Table1[[#This Row],[std_score]]/Table1[[#This Row],[max_score]]*100,"")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8"/>
  <sheetViews>
    <sheetView tabSelected="1" workbookViewId="0">
      <selection activeCell="G14" sqref="G14"/>
    </sheetView>
  </sheetViews>
  <sheetFormatPr defaultRowHeight="14.4" x14ac:dyDescent="0.3"/>
  <cols>
    <col min="1" max="1" width="15.5546875" customWidth="1"/>
    <col min="3" max="3" width="10.44140625" customWidth="1"/>
    <col min="5" max="5" width="10.21875" customWidth="1"/>
    <col min="8" max="8" width="17.5546875" customWidth="1"/>
    <col min="9" max="9" width="17" customWidth="1"/>
    <col min="10" max="10" width="11.33203125" customWidth="1"/>
    <col min="11" max="11" width="10.88671875" customWidth="1"/>
    <col min="12" max="12" width="11.88671875" customWidth="1"/>
    <col min="13" max="13" width="16.88671875" customWidth="1"/>
  </cols>
  <sheetData>
    <row r="1" spans="1:14" x14ac:dyDescent="0.3">
      <c r="A1" t="s">
        <v>145</v>
      </c>
      <c r="B1" t="s">
        <v>0</v>
      </c>
      <c r="C1" t="s">
        <v>1</v>
      </c>
      <c r="D1" t="s">
        <v>2</v>
      </c>
      <c r="E1" t="s">
        <v>3</v>
      </c>
      <c r="F1" t="s">
        <v>4</v>
      </c>
      <c r="G1" t="s">
        <v>5</v>
      </c>
      <c r="H1" t="s">
        <v>6</v>
      </c>
      <c r="I1" t="s">
        <v>10</v>
      </c>
      <c r="J1" t="s">
        <v>140</v>
      </c>
      <c r="K1" t="s">
        <v>141</v>
      </c>
      <c r="L1" t="s">
        <v>142</v>
      </c>
      <c r="M1" t="s">
        <v>143</v>
      </c>
      <c r="N1" t="s">
        <v>144</v>
      </c>
    </row>
    <row r="2" spans="1:14" x14ac:dyDescent="0.3">
      <c r="A2" t="str">
        <f>_xlfn.CONCAT(Table1[[#This Row],[year]],Table1[[#This Row],[semester]],Table1[[#This Row],[moed]],Table1[[#This Row],[question]],Table1[[#This Row],[section]])</f>
        <v>2022aa1a</v>
      </c>
      <c r="B2">
        <v>2022</v>
      </c>
      <c r="C2" t="s">
        <v>7</v>
      </c>
      <c r="D2" t="s">
        <v>7</v>
      </c>
      <c r="E2">
        <v>1</v>
      </c>
      <c r="F2" t="s">
        <v>7</v>
      </c>
      <c r="G2">
        <v>10</v>
      </c>
      <c r="H2" s="3" t="s">
        <v>120</v>
      </c>
      <c r="I2" s="3" t="s">
        <v>101</v>
      </c>
      <c r="J2">
        <v>8.1547619999999998</v>
      </c>
      <c r="K2">
        <v>1.551963</v>
      </c>
      <c r="L2">
        <v>10</v>
      </c>
      <c r="M2">
        <f>IFERROR(Table1[[#This Row],[avg_score]]/Table1[[#This Row],[max_score]]*100,"")</f>
        <v>81.547619999999995</v>
      </c>
      <c r="N2">
        <f>IFERROR(Table1[[#This Row],[std_score]]/Table1[[#This Row],[max_score]]*100,"")</f>
        <v>15.519630000000001</v>
      </c>
    </row>
    <row r="3" spans="1:14" x14ac:dyDescent="0.3">
      <c r="A3" t="str">
        <f>_xlfn.CONCAT(Table1[[#This Row],[year]],Table1[[#This Row],[semester]],Table1[[#This Row],[moed]],Table1[[#This Row],[question]],Table1[[#This Row],[section]])</f>
        <v>2022aa1b</v>
      </c>
      <c r="B3">
        <v>2022</v>
      </c>
      <c r="C3" t="s">
        <v>7</v>
      </c>
      <c r="D3" t="s">
        <v>7</v>
      </c>
      <c r="E3">
        <v>1</v>
      </c>
      <c r="F3" t="s">
        <v>8</v>
      </c>
      <c r="G3">
        <v>10</v>
      </c>
      <c r="H3" t="s">
        <v>121</v>
      </c>
      <c r="I3" s="3" t="s">
        <v>102</v>
      </c>
      <c r="J3">
        <v>7.7896830000000001</v>
      </c>
      <c r="K3">
        <v>2.5849479999999998</v>
      </c>
      <c r="L3">
        <v>10</v>
      </c>
      <c r="M3">
        <f>IFERROR(Table1[[#This Row],[avg_score]]/Table1[[#This Row],[max_score]]*100,"")</f>
        <v>77.896830000000008</v>
      </c>
      <c r="N3">
        <f>IFERROR(Table1[[#This Row],[std_score]]/Table1[[#This Row],[max_score]]*100,"")</f>
        <v>25.849479999999996</v>
      </c>
    </row>
    <row r="4" spans="1:14" x14ac:dyDescent="0.3">
      <c r="A4" t="str">
        <f>_xlfn.CONCAT(Table1[[#This Row],[year]],Table1[[#This Row],[semester]],Table1[[#This Row],[moed]],Table1[[#This Row],[question]],Table1[[#This Row],[section]])</f>
        <v>2022aa2a</v>
      </c>
      <c r="B4">
        <v>2022</v>
      </c>
      <c r="C4" t="s">
        <v>7</v>
      </c>
      <c r="D4" t="s">
        <v>7</v>
      </c>
      <c r="E4">
        <v>2</v>
      </c>
      <c r="F4" t="s">
        <v>7</v>
      </c>
      <c r="G4">
        <v>10</v>
      </c>
      <c r="H4" t="s">
        <v>122</v>
      </c>
      <c r="I4" s="3" t="s">
        <v>103</v>
      </c>
      <c r="J4">
        <v>5.6507940000000003</v>
      </c>
      <c r="K4">
        <v>2.988915</v>
      </c>
      <c r="L4">
        <v>10</v>
      </c>
      <c r="M4">
        <f>IFERROR(Table1[[#This Row],[avg_score]]/Table1[[#This Row],[max_score]]*100,"")</f>
        <v>56.507939999999998</v>
      </c>
      <c r="N4">
        <f>IFERROR(Table1[[#This Row],[std_score]]/Table1[[#This Row],[max_score]]*100,"")</f>
        <v>29.889149999999997</v>
      </c>
    </row>
    <row r="5" spans="1:14" x14ac:dyDescent="0.3">
      <c r="A5" t="str">
        <f>_xlfn.CONCAT(Table1[[#This Row],[year]],Table1[[#This Row],[semester]],Table1[[#This Row],[moed]],Table1[[#This Row],[question]],Table1[[#This Row],[section]])</f>
        <v>2022aa2b</v>
      </c>
      <c r="B5">
        <v>2022</v>
      </c>
      <c r="C5" t="s">
        <v>7</v>
      </c>
      <c r="D5" t="s">
        <v>7</v>
      </c>
      <c r="E5">
        <v>2</v>
      </c>
      <c r="F5" t="s">
        <v>8</v>
      </c>
      <c r="G5">
        <v>10</v>
      </c>
      <c r="H5" s="3" t="s">
        <v>123</v>
      </c>
      <c r="I5" t="s">
        <v>104</v>
      </c>
      <c r="J5">
        <v>6.3968249999999998</v>
      </c>
      <c r="K5">
        <v>3.0991019999999998</v>
      </c>
      <c r="L5">
        <v>10</v>
      </c>
      <c r="M5">
        <f>IFERROR(Table1[[#This Row],[avg_score]]/Table1[[#This Row],[max_score]]*100,"")</f>
        <v>63.968249999999991</v>
      </c>
      <c r="N5">
        <f>IFERROR(Table1[[#This Row],[std_score]]/Table1[[#This Row],[max_score]]*100,"")</f>
        <v>30.991019999999995</v>
      </c>
    </row>
    <row r="6" spans="1:14" x14ac:dyDescent="0.3">
      <c r="A6" t="str">
        <f>_xlfn.CONCAT(Table1[[#This Row],[year]],Table1[[#This Row],[semester]],Table1[[#This Row],[moed]],Table1[[#This Row],[question]],Table1[[#This Row],[section]])</f>
        <v>2022aa3a</v>
      </c>
      <c r="B6">
        <v>2022</v>
      </c>
      <c r="C6" t="s">
        <v>7</v>
      </c>
      <c r="D6" t="s">
        <v>7</v>
      </c>
      <c r="E6">
        <v>3</v>
      </c>
      <c r="F6" t="s">
        <v>7</v>
      </c>
      <c r="G6">
        <v>10</v>
      </c>
      <c r="H6" s="3" t="s">
        <v>124</v>
      </c>
      <c r="I6" s="3" t="s">
        <v>105</v>
      </c>
      <c r="J6">
        <v>7.9484130000000004</v>
      </c>
      <c r="K6">
        <v>3.1649929999999999</v>
      </c>
      <c r="L6">
        <v>10</v>
      </c>
      <c r="M6">
        <f>IFERROR(Table1[[#This Row],[avg_score]]/Table1[[#This Row],[max_score]]*100,"")</f>
        <v>79.484130000000007</v>
      </c>
      <c r="N6">
        <f>IFERROR(Table1[[#This Row],[std_score]]/Table1[[#This Row],[max_score]]*100,"")</f>
        <v>31.649929999999998</v>
      </c>
    </row>
    <row r="7" spans="1:14" x14ac:dyDescent="0.3">
      <c r="A7" t="str">
        <f>_xlfn.CONCAT(Table1[[#This Row],[year]],Table1[[#This Row],[semester]],Table1[[#This Row],[moed]],Table1[[#This Row],[question]],Table1[[#This Row],[section]])</f>
        <v>2022aa3b</v>
      </c>
      <c r="B7">
        <v>2022</v>
      </c>
      <c r="C7" t="s">
        <v>7</v>
      </c>
      <c r="D7" t="s">
        <v>7</v>
      </c>
      <c r="E7">
        <v>3</v>
      </c>
      <c r="F7" t="s">
        <v>8</v>
      </c>
      <c r="G7">
        <v>10</v>
      </c>
      <c r="H7" s="3" t="s">
        <v>125</v>
      </c>
      <c r="I7" s="3" t="s">
        <v>106</v>
      </c>
      <c r="J7">
        <v>3.7817460000000001</v>
      </c>
      <c r="K7">
        <v>3.323197</v>
      </c>
      <c r="L7">
        <v>10</v>
      </c>
      <c r="M7">
        <f>IFERROR(Table1[[#This Row],[avg_score]]/Table1[[#This Row],[max_score]]*100,"")</f>
        <v>37.817460000000004</v>
      </c>
      <c r="N7">
        <f>IFERROR(Table1[[#This Row],[std_score]]/Table1[[#This Row],[max_score]]*100,"")</f>
        <v>33.231969999999997</v>
      </c>
    </row>
    <row r="8" spans="1:14" x14ac:dyDescent="0.3">
      <c r="A8" t="str">
        <f>_xlfn.CONCAT(Table1[[#This Row],[year]],Table1[[#This Row],[semester]],Table1[[#This Row],[moed]],Table1[[#This Row],[question]],Table1[[#This Row],[section]])</f>
        <v>2022aa4</v>
      </c>
      <c r="B8">
        <v>2022</v>
      </c>
      <c r="C8" t="s">
        <v>7</v>
      </c>
      <c r="D8" t="s">
        <v>7</v>
      </c>
      <c r="E8">
        <v>4</v>
      </c>
      <c r="G8">
        <v>20</v>
      </c>
      <c r="H8" s="3" t="s">
        <v>126</v>
      </c>
      <c r="I8" s="3" t="s">
        <v>107</v>
      </c>
      <c r="J8">
        <v>15.865080000000001</v>
      </c>
      <c r="K8">
        <v>2.6795909999999998</v>
      </c>
      <c r="L8">
        <v>20</v>
      </c>
      <c r="M8">
        <f>IFERROR(Table1[[#This Row],[avg_score]]/Table1[[#This Row],[max_score]]*100,"")</f>
        <v>79.325400000000002</v>
      </c>
      <c r="N8">
        <f>IFERROR(Table1[[#This Row],[std_score]]/Table1[[#This Row],[max_score]]*100,"")</f>
        <v>13.397955</v>
      </c>
    </row>
    <row r="9" spans="1:14" x14ac:dyDescent="0.3">
      <c r="A9" t="str">
        <f>_xlfn.CONCAT(Table1[[#This Row],[year]],Table1[[#This Row],[semester]],Table1[[#This Row],[moed]],Table1[[#This Row],[question]],Table1[[#This Row],[section]])</f>
        <v>2022aa5a</v>
      </c>
      <c r="B9">
        <v>2022</v>
      </c>
      <c r="C9" t="s">
        <v>7</v>
      </c>
      <c r="D9" t="s">
        <v>7</v>
      </c>
      <c r="E9">
        <v>5</v>
      </c>
      <c r="F9" t="s">
        <v>7</v>
      </c>
      <c r="G9">
        <v>6.6666667000000004</v>
      </c>
      <c r="H9" s="3" t="s">
        <v>127</v>
      </c>
      <c r="I9" s="3" t="s">
        <v>108</v>
      </c>
      <c r="J9">
        <v>3.3888889999999998</v>
      </c>
      <c r="K9">
        <v>2.2729330000000001</v>
      </c>
      <c r="L9">
        <v>7</v>
      </c>
      <c r="M9">
        <f>IFERROR(Table1[[#This Row],[avg_score]]/Table1[[#This Row],[max_score]]*100,"")</f>
        <v>48.412700000000001</v>
      </c>
      <c r="N9">
        <f>IFERROR(Table1[[#This Row],[std_score]]/Table1[[#This Row],[max_score]]*100,"")</f>
        <v>32.470471428571429</v>
      </c>
    </row>
    <row r="10" spans="1:14" x14ac:dyDescent="0.3">
      <c r="A10" t="str">
        <f>_xlfn.CONCAT(Table1[[#This Row],[year]],Table1[[#This Row],[semester]],Table1[[#This Row],[moed]],Table1[[#This Row],[question]],Table1[[#This Row],[section]])</f>
        <v>2022aa5b</v>
      </c>
      <c r="B10">
        <v>2022</v>
      </c>
      <c r="C10" t="s">
        <v>7</v>
      </c>
      <c r="D10" t="s">
        <v>7</v>
      </c>
      <c r="E10">
        <v>5</v>
      </c>
      <c r="F10" t="s">
        <v>8</v>
      </c>
      <c r="G10">
        <v>6.6666667000000004</v>
      </c>
      <c r="H10" s="3" t="s">
        <v>128</v>
      </c>
      <c r="I10" t="s">
        <v>109</v>
      </c>
      <c r="J10">
        <v>3.1746029999999998</v>
      </c>
      <c r="K10">
        <v>2.7170230000000002</v>
      </c>
      <c r="L10">
        <v>6</v>
      </c>
      <c r="M10">
        <f>IFERROR(Table1[[#This Row],[avg_score]]/Table1[[#This Row],[max_score]]*100,"")</f>
        <v>52.910049999999998</v>
      </c>
      <c r="N10">
        <f>IFERROR(Table1[[#This Row],[std_score]]/Table1[[#This Row],[max_score]]*100,"")</f>
        <v>45.28371666666667</v>
      </c>
    </row>
    <row r="11" spans="1:14" x14ac:dyDescent="0.3">
      <c r="A11" t="str">
        <f>_xlfn.CONCAT(Table1[[#This Row],[year]],Table1[[#This Row],[semester]],Table1[[#This Row],[moed]],Table1[[#This Row],[question]],Table1[[#This Row],[section]])</f>
        <v>2022aa5c</v>
      </c>
      <c r="B11">
        <v>2022</v>
      </c>
      <c r="C11" t="s">
        <v>7</v>
      </c>
      <c r="D11" t="s">
        <v>7</v>
      </c>
      <c r="E11">
        <v>5</v>
      </c>
      <c r="F11" t="s">
        <v>9</v>
      </c>
      <c r="G11">
        <v>6.6666667000000004</v>
      </c>
      <c r="H11" s="3" t="s">
        <v>129</v>
      </c>
      <c r="I11" t="s">
        <v>110</v>
      </c>
      <c r="J11">
        <v>2.1507939999999999</v>
      </c>
      <c r="K11">
        <v>2.8074940000000002</v>
      </c>
      <c r="L11">
        <v>7</v>
      </c>
      <c r="M11">
        <f>IFERROR(Table1[[#This Row],[avg_score]]/Table1[[#This Row],[max_score]]*100,"")</f>
        <v>30.725628571428569</v>
      </c>
      <c r="N11">
        <f>IFERROR(Table1[[#This Row],[std_score]]/Table1[[#This Row],[max_score]]*100,"")</f>
        <v>40.107057142857144</v>
      </c>
    </row>
    <row r="12" spans="1:14" x14ac:dyDescent="0.3">
      <c r="A12" t="str">
        <f>_xlfn.CONCAT(Table1[[#This Row],[year]],Table1[[#This Row],[semester]],Table1[[#This Row],[moed]],Table1[[#This Row],[question]],Table1[[#This Row],[section]])</f>
        <v>2022ab1</v>
      </c>
      <c r="B12">
        <v>2022</v>
      </c>
      <c r="C12" t="s">
        <v>7</v>
      </c>
      <c r="D12" t="s">
        <v>8</v>
      </c>
      <c r="E12">
        <v>1</v>
      </c>
      <c r="G12">
        <v>20</v>
      </c>
      <c r="H12" s="3" t="s">
        <v>130</v>
      </c>
      <c r="I12" t="s">
        <v>111</v>
      </c>
      <c r="J12">
        <v>15.765432098765432</v>
      </c>
      <c r="K12">
        <v>5.4484602082103111</v>
      </c>
      <c r="L12">
        <v>20</v>
      </c>
      <c r="M12">
        <f>IFERROR(Table1[[#This Row],[avg_score]]/Table1[[#This Row],[max_score]]*100,"")</f>
        <v>78.827160493827165</v>
      </c>
      <c r="N12">
        <f>IFERROR(Table1[[#This Row],[std_score]]/Table1[[#This Row],[max_score]]*100,"")</f>
        <v>27.242301041051554</v>
      </c>
    </row>
    <row r="13" spans="1:14" x14ac:dyDescent="0.3">
      <c r="A13" t="str">
        <f>_xlfn.CONCAT(Table1[[#This Row],[year]],Table1[[#This Row],[semester]],Table1[[#This Row],[moed]],Table1[[#This Row],[question]],Table1[[#This Row],[section]])</f>
        <v>2022ab2a</v>
      </c>
      <c r="B13">
        <v>2022</v>
      </c>
      <c r="C13" t="s">
        <v>7</v>
      </c>
      <c r="D13" t="s">
        <v>8</v>
      </c>
      <c r="E13">
        <v>2</v>
      </c>
      <c r="F13" t="s">
        <v>7</v>
      </c>
      <c r="G13">
        <v>10</v>
      </c>
      <c r="H13" s="3" t="s">
        <v>131</v>
      </c>
      <c r="I13" s="3" t="s">
        <v>112</v>
      </c>
      <c r="J13">
        <v>6.2592590000000001</v>
      </c>
      <c r="K13">
        <v>3.066255</v>
      </c>
      <c r="L13">
        <v>10</v>
      </c>
      <c r="M13">
        <f>IFERROR(Table1[[#This Row],[avg_score]]/Table1[[#This Row],[max_score]]*100,"")</f>
        <v>62.592590000000001</v>
      </c>
      <c r="N13">
        <f>IFERROR(Table1[[#This Row],[std_score]]/Table1[[#This Row],[max_score]]*100,"")</f>
        <v>30.66255</v>
      </c>
    </row>
    <row r="14" spans="1:14" x14ac:dyDescent="0.3">
      <c r="A14" t="str">
        <f>_xlfn.CONCAT(Table1[[#This Row],[year]],Table1[[#This Row],[semester]],Table1[[#This Row],[moed]],Table1[[#This Row],[question]],Table1[[#This Row],[section]])</f>
        <v>2022ab2b</v>
      </c>
      <c r="B14">
        <v>2022</v>
      </c>
      <c r="C14" t="s">
        <v>7</v>
      </c>
      <c r="D14" t="s">
        <v>8</v>
      </c>
      <c r="E14">
        <v>2</v>
      </c>
      <c r="F14" t="s">
        <v>8</v>
      </c>
      <c r="G14">
        <v>10</v>
      </c>
      <c r="H14" s="3" t="s">
        <v>132</v>
      </c>
      <c r="I14" s="3" t="s">
        <v>113</v>
      </c>
      <c r="J14">
        <v>6.432099</v>
      </c>
      <c r="K14">
        <v>3.1267</v>
      </c>
      <c r="L14">
        <v>10</v>
      </c>
      <c r="M14">
        <f>IFERROR(Table1[[#This Row],[avg_score]]/Table1[[#This Row],[max_score]]*100,"")</f>
        <v>64.320989999999995</v>
      </c>
      <c r="N14">
        <f>IFERROR(Table1[[#This Row],[std_score]]/Table1[[#This Row],[max_score]]*100,"")</f>
        <v>31.266999999999999</v>
      </c>
    </row>
    <row r="15" spans="1:14" x14ac:dyDescent="0.3">
      <c r="A15" t="str">
        <f>_xlfn.CONCAT(Table1[[#This Row],[year]],Table1[[#This Row],[semester]],Table1[[#This Row],[moed]],Table1[[#This Row],[question]],Table1[[#This Row],[section]])</f>
        <v>2022ab3a</v>
      </c>
      <c r="B15">
        <v>2022</v>
      </c>
      <c r="C15" t="s">
        <v>7</v>
      </c>
      <c r="D15" t="s">
        <v>8</v>
      </c>
      <c r="E15">
        <v>3</v>
      </c>
      <c r="F15" t="s">
        <v>7</v>
      </c>
      <c r="G15">
        <v>6.6666667000000004</v>
      </c>
      <c r="H15" s="3" t="s">
        <v>133</v>
      </c>
      <c r="I15" t="s">
        <v>11</v>
      </c>
      <c r="J15">
        <v>4</v>
      </c>
      <c r="K15">
        <v>0</v>
      </c>
      <c r="L15">
        <v>4</v>
      </c>
      <c r="M15">
        <f>IFERROR(Table1[[#This Row],[avg_score]]/Table1[[#This Row],[max_score]]*100,"")</f>
        <v>100</v>
      </c>
      <c r="N15">
        <f>IFERROR(Table1[[#This Row],[std_score]]/Table1[[#This Row],[max_score]]*100,"")</f>
        <v>0</v>
      </c>
    </row>
    <row r="16" spans="1:14" x14ac:dyDescent="0.3">
      <c r="A16" t="str">
        <f>_xlfn.CONCAT(Table1[[#This Row],[year]],Table1[[#This Row],[semester]],Table1[[#This Row],[moed]],Table1[[#This Row],[question]],Table1[[#This Row],[section]])</f>
        <v>2022ab3b</v>
      </c>
      <c r="B16">
        <v>2022</v>
      </c>
      <c r="C16" t="s">
        <v>7</v>
      </c>
      <c r="D16" t="s">
        <v>8</v>
      </c>
      <c r="E16">
        <v>3</v>
      </c>
      <c r="F16" t="s">
        <v>8</v>
      </c>
      <c r="G16">
        <v>6.6666667000000004</v>
      </c>
      <c r="H16" s="3" t="s">
        <v>134</v>
      </c>
      <c r="I16" s="3" t="s">
        <v>114</v>
      </c>
      <c r="J16">
        <v>6.7160489999999999</v>
      </c>
      <c r="K16">
        <v>2.7587549999999998</v>
      </c>
      <c r="L16">
        <v>8</v>
      </c>
      <c r="M16">
        <f>IFERROR(Table1[[#This Row],[avg_score]]/Table1[[#This Row],[max_score]]*100,"")</f>
        <v>83.950612500000005</v>
      </c>
      <c r="N16">
        <f>IFERROR(Table1[[#This Row],[std_score]]/Table1[[#This Row],[max_score]]*100,"")</f>
        <v>34.484437499999999</v>
      </c>
    </row>
    <row r="17" spans="1:14" x14ac:dyDescent="0.3">
      <c r="A17" t="str">
        <f>_xlfn.CONCAT(Table1[[#This Row],[year]],Table1[[#This Row],[semester]],Table1[[#This Row],[moed]],Table1[[#This Row],[question]],Table1[[#This Row],[section]])</f>
        <v>2022ab3c</v>
      </c>
      <c r="B17">
        <v>2022</v>
      </c>
      <c r="C17" t="s">
        <v>7</v>
      </c>
      <c r="D17" t="s">
        <v>8</v>
      </c>
      <c r="E17">
        <v>3</v>
      </c>
      <c r="F17" t="s">
        <v>9</v>
      </c>
      <c r="G17">
        <v>6.6666667000000004</v>
      </c>
      <c r="H17" s="3" t="s">
        <v>135</v>
      </c>
      <c r="I17" s="3" t="s">
        <v>115</v>
      </c>
      <c r="J17">
        <v>2.8518520000000001</v>
      </c>
      <c r="K17">
        <v>2.5147029999999999</v>
      </c>
      <c r="L17">
        <v>8</v>
      </c>
      <c r="M17">
        <f>IFERROR(Table1[[#This Row],[avg_score]]/Table1[[#This Row],[max_score]]*100,"")</f>
        <v>35.648150000000001</v>
      </c>
      <c r="N17">
        <f>IFERROR(Table1[[#This Row],[std_score]]/Table1[[#This Row],[max_score]]*100,"")</f>
        <v>31.433787499999998</v>
      </c>
    </row>
    <row r="18" spans="1:14" x14ac:dyDescent="0.3">
      <c r="A18" t="str">
        <f>_xlfn.CONCAT(Table1[[#This Row],[year]],Table1[[#This Row],[semester]],Table1[[#This Row],[moed]],Table1[[#This Row],[question]],Table1[[#This Row],[section]])</f>
        <v>2022ab4a</v>
      </c>
      <c r="B18">
        <v>2022</v>
      </c>
      <c r="C18" t="s">
        <v>7</v>
      </c>
      <c r="D18" t="s">
        <v>8</v>
      </c>
      <c r="E18">
        <v>4</v>
      </c>
      <c r="F18" t="s">
        <v>7</v>
      </c>
      <c r="G18">
        <v>10</v>
      </c>
      <c r="H18" s="3" t="s">
        <v>136</v>
      </c>
      <c r="I18" s="3" t="s">
        <v>116</v>
      </c>
      <c r="J18">
        <v>6.6419750000000004</v>
      </c>
      <c r="K18">
        <v>2.032505</v>
      </c>
      <c r="L18">
        <v>10</v>
      </c>
      <c r="M18">
        <f>IFERROR(Table1[[#This Row],[avg_score]]/Table1[[#This Row],[max_score]]*100,"")</f>
        <v>66.419749999999993</v>
      </c>
      <c r="N18">
        <f>IFERROR(Table1[[#This Row],[std_score]]/Table1[[#This Row],[max_score]]*100,"")</f>
        <v>20.325050000000001</v>
      </c>
    </row>
    <row r="19" spans="1:14" x14ac:dyDescent="0.3">
      <c r="A19" t="str">
        <f>_xlfn.CONCAT(Table1[[#This Row],[year]],Table1[[#This Row],[semester]],Table1[[#This Row],[moed]],Table1[[#This Row],[question]],Table1[[#This Row],[section]])</f>
        <v>2022ab4b</v>
      </c>
      <c r="B19">
        <v>2022</v>
      </c>
      <c r="C19" t="s">
        <v>7</v>
      </c>
      <c r="D19" t="s">
        <v>8</v>
      </c>
      <c r="E19">
        <v>4</v>
      </c>
      <c r="F19" t="s">
        <v>8</v>
      </c>
      <c r="G19">
        <v>10</v>
      </c>
      <c r="H19" s="3" t="s">
        <v>137</v>
      </c>
      <c r="I19" t="s">
        <v>117</v>
      </c>
      <c r="J19">
        <v>8.0740739999999995</v>
      </c>
      <c r="K19">
        <v>2.6563590000000001</v>
      </c>
      <c r="L19">
        <v>10</v>
      </c>
      <c r="M19">
        <f>IFERROR(Table1[[#This Row],[avg_score]]/Table1[[#This Row],[max_score]]*100,"")</f>
        <v>80.740740000000002</v>
      </c>
      <c r="N19">
        <f>IFERROR(Table1[[#This Row],[std_score]]/Table1[[#This Row],[max_score]]*100,"")</f>
        <v>26.563590000000005</v>
      </c>
    </row>
    <row r="20" spans="1:14" x14ac:dyDescent="0.3">
      <c r="A20" t="str">
        <f>_xlfn.CONCAT(Table1[[#This Row],[year]],Table1[[#This Row],[semester]],Table1[[#This Row],[moed]],Table1[[#This Row],[question]],Table1[[#This Row],[section]])</f>
        <v>2022ab5a</v>
      </c>
      <c r="B20">
        <v>2022</v>
      </c>
      <c r="C20" t="s">
        <v>7</v>
      </c>
      <c r="D20" t="s">
        <v>8</v>
      </c>
      <c r="E20">
        <v>5</v>
      </c>
      <c r="F20" t="s">
        <v>7</v>
      </c>
      <c r="G20">
        <v>10</v>
      </c>
      <c r="H20" s="3" t="s">
        <v>138</v>
      </c>
      <c r="I20" t="s">
        <v>118</v>
      </c>
      <c r="J20">
        <v>6.6049379999999998</v>
      </c>
      <c r="K20">
        <v>3.3098390000000002</v>
      </c>
      <c r="L20">
        <v>10</v>
      </c>
      <c r="M20">
        <f>IFERROR(Table1[[#This Row],[avg_score]]/Table1[[#This Row],[max_score]]*100,"")</f>
        <v>66.049379999999999</v>
      </c>
      <c r="N20">
        <f>IFERROR(Table1[[#This Row],[std_score]]/Table1[[#This Row],[max_score]]*100,"")</f>
        <v>33.098390000000002</v>
      </c>
    </row>
    <row r="21" spans="1:14" x14ac:dyDescent="0.3">
      <c r="A21" t="str">
        <f>_xlfn.CONCAT(Table1[[#This Row],[year]],Table1[[#This Row],[semester]],Table1[[#This Row],[moed]],Table1[[#This Row],[question]],Table1[[#This Row],[section]])</f>
        <v>2022ab5b</v>
      </c>
      <c r="B21">
        <v>2022</v>
      </c>
      <c r="C21" t="s">
        <v>7</v>
      </c>
      <c r="D21" t="s">
        <v>8</v>
      </c>
      <c r="E21">
        <v>5</v>
      </c>
      <c r="F21" t="s">
        <v>8</v>
      </c>
      <c r="G21">
        <v>10</v>
      </c>
      <c r="H21" s="3" t="s">
        <v>139</v>
      </c>
      <c r="I21" s="3" t="s">
        <v>119</v>
      </c>
      <c r="J21">
        <v>3.9135800000000001</v>
      </c>
      <c r="K21">
        <v>3.315499</v>
      </c>
      <c r="L21">
        <v>10</v>
      </c>
      <c r="M21">
        <f>IFERROR(Table1[[#This Row],[avg_score]]/Table1[[#This Row],[max_score]]*100,"")</f>
        <v>39.135799999999996</v>
      </c>
      <c r="N21">
        <f>IFERROR(Table1[[#This Row],[std_score]]/Table1[[#This Row],[max_score]]*100,"")</f>
        <v>33.154989999999998</v>
      </c>
    </row>
    <row r="22" spans="1:14" x14ac:dyDescent="0.3">
      <c r="A22" t="str">
        <f>_xlfn.CONCAT(Table1[[#This Row],[year]],Table1[[#This Row],[semester]],Table1[[#This Row],[moed]],Table1[[#This Row],[question]],Table1[[#This Row],[section]])</f>
        <v>2023aa1a</v>
      </c>
      <c r="B22">
        <v>2023</v>
      </c>
      <c r="C22" t="s">
        <v>7</v>
      </c>
      <c r="D22" t="s">
        <v>7</v>
      </c>
      <c r="E22">
        <v>1</v>
      </c>
      <c r="F22" t="s">
        <v>7</v>
      </c>
      <c r="G22">
        <v>5</v>
      </c>
      <c r="H22" s="3" t="s">
        <v>37</v>
      </c>
      <c r="I22" t="s">
        <v>60</v>
      </c>
      <c r="J22">
        <v>3.933649</v>
      </c>
      <c r="K22">
        <v>1.76736</v>
      </c>
      <c r="L22">
        <v>5</v>
      </c>
      <c r="M22">
        <f>IFERROR(Table1[[#This Row],[avg_score]]/Table1[[#This Row],[max_score]]*100,"")</f>
        <v>78.67298000000001</v>
      </c>
      <c r="N22">
        <f>IFERROR(Table1[[#This Row],[std_score]]/Table1[[#This Row],[max_score]]*100,"")</f>
        <v>35.347200000000001</v>
      </c>
    </row>
    <row r="23" spans="1:14" x14ac:dyDescent="0.3">
      <c r="A23" t="str">
        <f>_xlfn.CONCAT(Table1[[#This Row],[year]],Table1[[#This Row],[semester]],Table1[[#This Row],[moed]],Table1[[#This Row],[question]],Table1[[#This Row],[section]])</f>
        <v>2023aa1b</v>
      </c>
      <c r="B23">
        <v>2023</v>
      </c>
      <c r="C23" t="s">
        <v>7</v>
      </c>
      <c r="D23" t="s">
        <v>7</v>
      </c>
      <c r="E23">
        <v>1</v>
      </c>
      <c r="F23" t="s">
        <v>8</v>
      </c>
      <c r="G23">
        <v>5</v>
      </c>
      <c r="H23" t="s">
        <v>38</v>
      </c>
      <c r="I23" t="s">
        <v>61</v>
      </c>
      <c r="J23">
        <v>3.3364929999999999</v>
      </c>
      <c r="K23">
        <v>1.583548</v>
      </c>
      <c r="L23">
        <v>5</v>
      </c>
      <c r="M23">
        <f>IFERROR(Table1[[#This Row],[avg_score]]/Table1[[#This Row],[max_score]]*100,"")</f>
        <v>66.729860000000002</v>
      </c>
      <c r="N23">
        <f>IFERROR(Table1[[#This Row],[std_score]]/Table1[[#This Row],[max_score]]*100,"")</f>
        <v>31.670959999999997</v>
      </c>
    </row>
    <row r="24" spans="1:14" x14ac:dyDescent="0.3">
      <c r="A24" t="str">
        <f>_xlfn.CONCAT(Table1[[#This Row],[year]],Table1[[#This Row],[semester]],Table1[[#This Row],[moed]],Table1[[#This Row],[question]],Table1[[#This Row],[section]])</f>
        <v>2023aa1c</v>
      </c>
      <c r="B24">
        <v>2023</v>
      </c>
      <c r="C24" t="s">
        <v>7</v>
      </c>
      <c r="D24" t="s">
        <v>7</v>
      </c>
      <c r="E24">
        <v>1</v>
      </c>
      <c r="F24" t="s">
        <v>9</v>
      </c>
      <c r="G24">
        <v>5</v>
      </c>
      <c r="H24" s="3" t="s">
        <v>39</v>
      </c>
      <c r="I24" t="s">
        <v>62</v>
      </c>
      <c r="J24">
        <v>2.7582939999999998</v>
      </c>
      <c r="K24">
        <v>1.8196829999999999</v>
      </c>
      <c r="L24">
        <v>5</v>
      </c>
      <c r="M24">
        <f>IFERROR(Table1[[#This Row],[avg_score]]/Table1[[#This Row],[max_score]]*100,"")</f>
        <v>55.165880000000001</v>
      </c>
      <c r="N24">
        <f>IFERROR(Table1[[#This Row],[std_score]]/Table1[[#This Row],[max_score]]*100,"")</f>
        <v>36.393659999999997</v>
      </c>
    </row>
    <row r="25" spans="1:14" x14ac:dyDescent="0.3">
      <c r="A25" t="str">
        <f>_xlfn.CONCAT(Table1[[#This Row],[year]],Table1[[#This Row],[semester]],Table1[[#This Row],[moed]],Table1[[#This Row],[question]],Table1[[#This Row],[section]])</f>
        <v>2023aa1d</v>
      </c>
      <c r="B25">
        <v>2023</v>
      </c>
      <c r="C25" t="s">
        <v>7</v>
      </c>
      <c r="D25" t="s">
        <v>7</v>
      </c>
      <c r="E25">
        <v>1</v>
      </c>
      <c r="F25" t="s">
        <v>12</v>
      </c>
      <c r="G25">
        <v>5</v>
      </c>
      <c r="H25" t="s">
        <v>40</v>
      </c>
      <c r="I25" t="s">
        <v>63</v>
      </c>
      <c r="J25">
        <v>4.7251180000000002</v>
      </c>
      <c r="K25">
        <v>1.066635</v>
      </c>
      <c r="L25">
        <v>5</v>
      </c>
      <c r="M25">
        <f>IFERROR(Table1[[#This Row],[avg_score]]/Table1[[#This Row],[max_score]]*100,"")</f>
        <v>94.50236000000001</v>
      </c>
      <c r="N25">
        <f>IFERROR(Table1[[#This Row],[std_score]]/Table1[[#This Row],[max_score]]*100,"")</f>
        <v>21.332699999999999</v>
      </c>
    </row>
    <row r="26" spans="1:14" x14ac:dyDescent="0.3">
      <c r="A26" t="str">
        <f>_xlfn.CONCAT(Table1[[#This Row],[year]],Table1[[#This Row],[semester]],Table1[[#This Row],[moed]],Table1[[#This Row],[question]],Table1[[#This Row],[section]])</f>
        <v>2023aa2a</v>
      </c>
      <c r="B26">
        <v>2023</v>
      </c>
      <c r="C26" t="s">
        <v>7</v>
      </c>
      <c r="D26" t="s">
        <v>7</v>
      </c>
      <c r="E26">
        <v>2</v>
      </c>
      <c r="F26" t="s">
        <v>7</v>
      </c>
      <c r="G26">
        <v>10</v>
      </c>
      <c r="H26" t="s">
        <v>41</v>
      </c>
      <c r="I26" t="s">
        <v>64</v>
      </c>
      <c r="J26">
        <v>7.9194310000000003</v>
      </c>
      <c r="K26">
        <v>3.2782710000000002</v>
      </c>
      <c r="L26">
        <v>10</v>
      </c>
      <c r="M26">
        <f>IFERROR(Table1[[#This Row],[avg_score]]/Table1[[#This Row],[max_score]]*100,"")</f>
        <v>79.194310000000002</v>
      </c>
      <c r="N26">
        <f>IFERROR(Table1[[#This Row],[std_score]]/Table1[[#This Row],[max_score]]*100,"")</f>
        <v>32.782710000000002</v>
      </c>
    </row>
    <row r="27" spans="1:14" x14ac:dyDescent="0.3">
      <c r="A27" t="str">
        <f>_xlfn.CONCAT(Table1[[#This Row],[year]],Table1[[#This Row],[semester]],Table1[[#This Row],[moed]],Table1[[#This Row],[question]],Table1[[#This Row],[section]])</f>
        <v>2023aa2b</v>
      </c>
      <c r="B27">
        <v>2023</v>
      </c>
      <c r="C27" t="s">
        <v>7</v>
      </c>
      <c r="D27" t="s">
        <v>7</v>
      </c>
      <c r="E27">
        <v>2</v>
      </c>
      <c r="F27" t="s">
        <v>8</v>
      </c>
      <c r="G27">
        <v>10</v>
      </c>
      <c r="H27" t="s">
        <v>42</v>
      </c>
      <c r="I27" t="s">
        <v>65</v>
      </c>
      <c r="J27">
        <v>7.5450239999999997</v>
      </c>
      <c r="K27">
        <v>3.5707620000000002</v>
      </c>
      <c r="L27">
        <v>10</v>
      </c>
      <c r="M27">
        <f>IFERROR(Table1[[#This Row],[avg_score]]/Table1[[#This Row],[max_score]]*100,"")</f>
        <v>75.450240000000008</v>
      </c>
      <c r="N27">
        <f>IFERROR(Table1[[#This Row],[std_score]]/Table1[[#This Row],[max_score]]*100,"")</f>
        <v>35.707619999999999</v>
      </c>
    </row>
    <row r="28" spans="1:14" x14ac:dyDescent="0.3">
      <c r="A28" t="str">
        <f>_xlfn.CONCAT(Table1[[#This Row],[year]],Table1[[#This Row],[semester]],Table1[[#This Row],[moed]],Table1[[#This Row],[question]],Table1[[#This Row],[section]])</f>
        <v>2023aa3a</v>
      </c>
      <c r="B28">
        <v>2023</v>
      </c>
      <c r="C28" t="s">
        <v>7</v>
      </c>
      <c r="D28" t="s">
        <v>7</v>
      </c>
      <c r="E28">
        <v>3</v>
      </c>
      <c r="F28" t="s">
        <v>7</v>
      </c>
      <c r="G28">
        <v>10</v>
      </c>
      <c r="H28" t="s">
        <v>43</v>
      </c>
      <c r="I28" t="s">
        <v>66</v>
      </c>
      <c r="J28">
        <v>8.4454980000000006</v>
      </c>
      <c r="K28">
        <v>3.0040439999999999</v>
      </c>
      <c r="L28">
        <v>10</v>
      </c>
      <c r="M28">
        <f>IFERROR(Table1[[#This Row],[avg_score]]/Table1[[#This Row],[max_score]]*100,"")</f>
        <v>84.454980000000006</v>
      </c>
      <c r="N28">
        <f>IFERROR(Table1[[#This Row],[std_score]]/Table1[[#This Row],[max_score]]*100,"")</f>
        <v>30.04044</v>
      </c>
    </row>
    <row r="29" spans="1:14" x14ac:dyDescent="0.3">
      <c r="A29" t="str">
        <f>_xlfn.CONCAT(Table1[[#This Row],[year]],Table1[[#This Row],[semester]],Table1[[#This Row],[moed]],Table1[[#This Row],[question]],Table1[[#This Row],[section]])</f>
        <v>2023aa3b</v>
      </c>
      <c r="B29">
        <v>2023</v>
      </c>
      <c r="C29" t="s">
        <v>7</v>
      </c>
      <c r="D29" t="s">
        <v>7</v>
      </c>
      <c r="E29">
        <v>3</v>
      </c>
      <c r="F29" t="s">
        <v>8</v>
      </c>
      <c r="G29">
        <v>10</v>
      </c>
      <c r="H29" t="s">
        <v>44</v>
      </c>
      <c r="I29" t="s">
        <v>67</v>
      </c>
      <c r="J29">
        <v>5.7630330000000001</v>
      </c>
      <c r="K29">
        <v>4.3768840000000004</v>
      </c>
      <c r="L29">
        <v>10</v>
      </c>
      <c r="M29">
        <f>IFERROR(Table1[[#This Row],[avg_score]]/Table1[[#This Row],[max_score]]*100,"")</f>
        <v>57.630329999999994</v>
      </c>
      <c r="N29">
        <f>IFERROR(Table1[[#This Row],[std_score]]/Table1[[#This Row],[max_score]]*100,"")</f>
        <v>43.768840000000004</v>
      </c>
    </row>
    <row r="30" spans="1:14" x14ac:dyDescent="0.3">
      <c r="A30" t="str">
        <f>_xlfn.CONCAT(Table1[[#This Row],[year]],Table1[[#This Row],[semester]],Table1[[#This Row],[moed]],Table1[[#This Row],[question]],Table1[[#This Row],[section]])</f>
        <v>2023aa4a</v>
      </c>
      <c r="B30">
        <v>2023</v>
      </c>
      <c r="C30" t="s">
        <v>7</v>
      </c>
      <c r="D30" t="s">
        <v>7</v>
      </c>
      <c r="E30">
        <v>4</v>
      </c>
      <c r="F30" t="s">
        <v>7</v>
      </c>
      <c r="G30">
        <v>10</v>
      </c>
      <c r="H30" s="3" t="s">
        <v>45</v>
      </c>
      <c r="I30" t="s">
        <v>68</v>
      </c>
      <c r="J30">
        <v>8.7535550000000004</v>
      </c>
      <c r="K30">
        <v>2.5658940000000001</v>
      </c>
      <c r="L30">
        <v>10</v>
      </c>
      <c r="M30">
        <f>IFERROR(Table1[[#This Row],[avg_score]]/Table1[[#This Row],[max_score]]*100,"")</f>
        <v>87.535550000000001</v>
      </c>
      <c r="N30">
        <f>IFERROR(Table1[[#This Row],[std_score]]/Table1[[#This Row],[max_score]]*100,"")</f>
        <v>25.658940000000001</v>
      </c>
    </row>
    <row r="31" spans="1:14" x14ac:dyDescent="0.3">
      <c r="A31" t="str">
        <f>_xlfn.CONCAT(Table1[[#This Row],[year]],Table1[[#This Row],[semester]],Table1[[#This Row],[moed]],Table1[[#This Row],[question]],Table1[[#This Row],[section]])</f>
        <v>2023aa4b</v>
      </c>
      <c r="B31">
        <v>2023</v>
      </c>
      <c r="C31" t="s">
        <v>7</v>
      </c>
      <c r="D31" t="s">
        <v>7</v>
      </c>
      <c r="E31">
        <v>4</v>
      </c>
      <c r="F31" t="s">
        <v>8</v>
      </c>
      <c r="G31">
        <v>10</v>
      </c>
      <c r="H31" t="s">
        <v>46</v>
      </c>
      <c r="I31" t="s">
        <v>69</v>
      </c>
      <c r="J31">
        <v>4.3696679999999999</v>
      </c>
      <c r="K31">
        <v>4.036073</v>
      </c>
      <c r="L31">
        <v>10</v>
      </c>
      <c r="M31">
        <f>IFERROR(Table1[[#This Row],[avg_score]]/Table1[[#This Row],[max_score]]*100,"")</f>
        <v>43.696680000000001</v>
      </c>
      <c r="N31">
        <f>IFERROR(Table1[[#This Row],[std_score]]/Table1[[#This Row],[max_score]]*100,"")</f>
        <v>40.360730000000004</v>
      </c>
    </row>
    <row r="32" spans="1:14" x14ac:dyDescent="0.3">
      <c r="A32" t="str">
        <f>_xlfn.CONCAT(Table1[[#This Row],[year]],Table1[[#This Row],[semester]],Table1[[#This Row],[moed]],Table1[[#This Row],[question]],Table1[[#This Row],[section]])</f>
        <v>2023aa5a</v>
      </c>
      <c r="B32">
        <v>2023</v>
      </c>
      <c r="C32" t="s">
        <v>7</v>
      </c>
      <c r="D32" t="s">
        <v>7</v>
      </c>
      <c r="E32">
        <v>5</v>
      </c>
      <c r="F32" t="s">
        <v>7</v>
      </c>
      <c r="G32">
        <v>10</v>
      </c>
      <c r="H32" t="s">
        <v>47</v>
      </c>
      <c r="I32" t="s">
        <v>70</v>
      </c>
      <c r="J32">
        <v>5.6635070000000001</v>
      </c>
      <c r="K32">
        <v>3.9156439999999999</v>
      </c>
      <c r="L32">
        <v>10</v>
      </c>
      <c r="M32">
        <f>IFERROR(Table1[[#This Row],[avg_score]]/Table1[[#This Row],[max_score]]*100,"")</f>
        <v>56.635069999999999</v>
      </c>
      <c r="N32">
        <f>IFERROR(Table1[[#This Row],[std_score]]/Table1[[#This Row],[max_score]]*100,"")</f>
        <v>39.156439999999996</v>
      </c>
    </row>
    <row r="33" spans="1:14" ht="12.6" customHeight="1" x14ac:dyDescent="0.3">
      <c r="A33" t="str">
        <f>_xlfn.CONCAT(Table1[[#This Row],[year]],Table1[[#This Row],[semester]],Table1[[#This Row],[moed]],Table1[[#This Row],[question]],Table1[[#This Row],[section]])</f>
        <v>2023aa5b</v>
      </c>
      <c r="B33">
        <v>2023</v>
      </c>
      <c r="C33" t="s">
        <v>7</v>
      </c>
      <c r="D33" t="s">
        <v>7</v>
      </c>
      <c r="E33">
        <v>5</v>
      </c>
      <c r="F33" t="s">
        <v>8</v>
      </c>
      <c r="G33">
        <v>10</v>
      </c>
      <c r="H33" t="s">
        <v>48</v>
      </c>
      <c r="I33" s="1" t="s">
        <v>71</v>
      </c>
      <c r="J33">
        <v>5.6777249999999997</v>
      </c>
      <c r="K33">
        <v>3.7201170000000001</v>
      </c>
      <c r="L33">
        <v>10</v>
      </c>
      <c r="M33">
        <f>IFERROR(Table1[[#This Row],[avg_score]]/Table1[[#This Row],[max_score]]*100,"")</f>
        <v>56.777250000000002</v>
      </c>
      <c r="N33">
        <f>IFERROR(Table1[[#This Row],[std_score]]/Table1[[#This Row],[max_score]]*100,"")</f>
        <v>37.201169999999998</v>
      </c>
    </row>
    <row r="34" spans="1:14" x14ac:dyDescent="0.3">
      <c r="A34" t="str">
        <f>_xlfn.CONCAT(Table1[[#This Row],[year]],Table1[[#This Row],[semester]],Table1[[#This Row],[moed]],Table1[[#This Row],[question]],Table1[[#This Row],[section]])</f>
        <v>2023ab1a</v>
      </c>
      <c r="B34">
        <v>2023</v>
      </c>
      <c r="C34" t="s">
        <v>7</v>
      </c>
      <c r="D34" t="s">
        <v>8</v>
      </c>
      <c r="E34">
        <v>1</v>
      </c>
      <c r="F34" t="s">
        <v>7</v>
      </c>
      <c r="G34">
        <v>5</v>
      </c>
      <c r="H34" t="s">
        <v>49</v>
      </c>
      <c r="I34" t="s">
        <v>14</v>
      </c>
      <c r="J34">
        <v>2.652174</v>
      </c>
      <c r="K34">
        <v>2.4425340000000002</v>
      </c>
      <c r="L34">
        <v>5</v>
      </c>
      <c r="M34">
        <f>IFERROR(Table1[[#This Row],[avg_score]]/Table1[[#This Row],[max_score]]*100,"")</f>
        <v>53.043479999999995</v>
      </c>
      <c r="N34">
        <f>IFERROR(Table1[[#This Row],[std_score]]/Table1[[#This Row],[max_score]]*100,"")</f>
        <v>48.850680000000004</v>
      </c>
    </row>
    <row r="35" spans="1:14" x14ac:dyDescent="0.3">
      <c r="A35" t="str">
        <f>_xlfn.CONCAT(Table1[[#This Row],[year]],Table1[[#This Row],[semester]],Table1[[#This Row],[moed]],Table1[[#This Row],[question]],Table1[[#This Row],[section]])</f>
        <v>2023ab1b</v>
      </c>
      <c r="B35">
        <v>2023</v>
      </c>
      <c r="C35" t="s">
        <v>7</v>
      </c>
      <c r="D35" t="s">
        <v>8</v>
      </c>
      <c r="E35">
        <v>1</v>
      </c>
      <c r="F35" t="s">
        <v>8</v>
      </c>
      <c r="G35">
        <v>5</v>
      </c>
      <c r="H35" t="s">
        <v>50</v>
      </c>
      <c r="I35" t="s">
        <v>15</v>
      </c>
      <c r="J35">
        <v>3.913043</v>
      </c>
      <c r="K35">
        <v>1.16394</v>
      </c>
      <c r="L35">
        <v>5</v>
      </c>
      <c r="M35">
        <f>IFERROR(Table1[[#This Row],[avg_score]]/Table1[[#This Row],[max_score]]*100,"")</f>
        <v>78.260859999999994</v>
      </c>
      <c r="N35">
        <f>IFERROR(Table1[[#This Row],[std_score]]/Table1[[#This Row],[max_score]]*100,"")</f>
        <v>23.2788</v>
      </c>
    </row>
    <row r="36" spans="1:14" x14ac:dyDescent="0.3">
      <c r="A36" t="str">
        <f>_xlfn.CONCAT(Table1[[#This Row],[year]],Table1[[#This Row],[semester]],Table1[[#This Row],[moed]],Table1[[#This Row],[question]],Table1[[#This Row],[section]])</f>
        <v>2023ab1c</v>
      </c>
      <c r="B36">
        <v>2023</v>
      </c>
      <c r="C36" t="s">
        <v>7</v>
      </c>
      <c r="D36" t="s">
        <v>8</v>
      </c>
      <c r="E36">
        <v>1</v>
      </c>
      <c r="F36" t="s">
        <v>9</v>
      </c>
      <c r="G36">
        <v>5</v>
      </c>
      <c r="H36" t="s">
        <v>51</v>
      </c>
      <c r="I36" t="s">
        <v>72</v>
      </c>
      <c r="J36">
        <v>3.884058</v>
      </c>
      <c r="K36">
        <v>1.690007</v>
      </c>
      <c r="L36">
        <v>5</v>
      </c>
      <c r="M36">
        <f>IFERROR(Table1[[#This Row],[avg_score]]/Table1[[#This Row],[max_score]]*100,"")</f>
        <v>77.681160000000006</v>
      </c>
      <c r="N36">
        <f>IFERROR(Table1[[#This Row],[std_score]]/Table1[[#This Row],[max_score]]*100,"")</f>
        <v>33.800139999999999</v>
      </c>
    </row>
    <row r="37" spans="1:14" x14ac:dyDescent="0.3">
      <c r="A37" t="str">
        <f>_xlfn.CONCAT(Table1[[#This Row],[year]],Table1[[#This Row],[semester]],Table1[[#This Row],[moed]],Table1[[#This Row],[question]],Table1[[#This Row],[section]])</f>
        <v>2023ab1d</v>
      </c>
      <c r="B37">
        <v>2023</v>
      </c>
      <c r="C37" t="s">
        <v>7</v>
      </c>
      <c r="D37" t="s">
        <v>8</v>
      </c>
      <c r="E37">
        <v>1</v>
      </c>
      <c r="F37" t="s">
        <v>12</v>
      </c>
      <c r="G37">
        <v>5</v>
      </c>
      <c r="H37" t="s">
        <v>52</v>
      </c>
      <c r="I37" t="s">
        <v>16</v>
      </c>
      <c r="J37">
        <v>4.768116</v>
      </c>
      <c r="K37">
        <v>0.85372000000000003</v>
      </c>
      <c r="L37">
        <v>5</v>
      </c>
      <c r="M37">
        <f>IFERROR(Table1[[#This Row],[avg_score]]/Table1[[#This Row],[max_score]]*100,"")</f>
        <v>95.362319999999997</v>
      </c>
      <c r="N37">
        <f>IFERROR(Table1[[#This Row],[std_score]]/Table1[[#This Row],[max_score]]*100,"")</f>
        <v>17.074400000000001</v>
      </c>
    </row>
    <row r="38" spans="1:14" x14ac:dyDescent="0.3">
      <c r="A38" t="str">
        <f>_xlfn.CONCAT(Table1[[#This Row],[year]],Table1[[#This Row],[semester]],Table1[[#This Row],[moed]],Table1[[#This Row],[question]],Table1[[#This Row],[section]])</f>
        <v>2023ab2a</v>
      </c>
      <c r="B38">
        <v>2023</v>
      </c>
      <c r="C38" t="s">
        <v>7</v>
      </c>
      <c r="D38" t="s">
        <v>8</v>
      </c>
      <c r="E38">
        <v>2</v>
      </c>
      <c r="F38" t="s">
        <v>7</v>
      </c>
      <c r="G38">
        <v>10</v>
      </c>
      <c r="H38" t="s">
        <v>13</v>
      </c>
      <c r="I38" t="s">
        <v>73</v>
      </c>
      <c r="J38">
        <v>8.8840579999999996</v>
      </c>
      <c r="K38">
        <v>2.1026980000000002</v>
      </c>
      <c r="L38">
        <v>10</v>
      </c>
      <c r="M38">
        <f>IFERROR(Table1[[#This Row],[avg_score]]/Table1[[#This Row],[max_score]]*100,"")</f>
        <v>88.840579999999989</v>
      </c>
      <c r="N38">
        <f>IFERROR(Table1[[#This Row],[std_score]]/Table1[[#This Row],[max_score]]*100,"")</f>
        <v>21.026980000000002</v>
      </c>
    </row>
    <row r="39" spans="1:14" x14ac:dyDescent="0.3">
      <c r="A39" t="str">
        <f>_xlfn.CONCAT(Table1[[#This Row],[year]],Table1[[#This Row],[semester]],Table1[[#This Row],[moed]],Table1[[#This Row],[question]],Table1[[#This Row],[section]])</f>
        <v>2023ab2b</v>
      </c>
      <c r="B39">
        <v>2023</v>
      </c>
      <c r="C39" t="s">
        <v>7</v>
      </c>
      <c r="D39" t="s">
        <v>8</v>
      </c>
      <c r="E39">
        <v>2</v>
      </c>
      <c r="F39" t="s">
        <v>8</v>
      </c>
      <c r="G39">
        <v>10</v>
      </c>
      <c r="H39" s="3" t="s">
        <v>53</v>
      </c>
      <c r="I39" t="s">
        <v>74</v>
      </c>
      <c r="J39">
        <v>7.0434780000000003</v>
      </c>
      <c r="K39">
        <v>3.411127</v>
      </c>
      <c r="L39">
        <v>10</v>
      </c>
      <c r="M39">
        <f>IFERROR(Table1[[#This Row],[avg_score]]/Table1[[#This Row],[max_score]]*100,"")</f>
        <v>70.434780000000003</v>
      </c>
      <c r="N39">
        <f>IFERROR(Table1[[#This Row],[std_score]]/Table1[[#This Row],[max_score]]*100,"")</f>
        <v>34.111269999999998</v>
      </c>
    </row>
    <row r="40" spans="1:14" x14ac:dyDescent="0.3">
      <c r="A40" t="str">
        <f>_xlfn.CONCAT(Table1[[#This Row],[year]],Table1[[#This Row],[semester]],Table1[[#This Row],[moed]],Table1[[#This Row],[question]],Table1[[#This Row],[section]])</f>
        <v>2023ab3a</v>
      </c>
      <c r="B40">
        <v>2023</v>
      </c>
      <c r="C40" t="s">
        <v>7</v>
      </c>
      <c r="D40" t="s">
        <v>8</v>
      </c>
      <c r="E40">
        <v>3</v>
      </c>
      <c r="F40" t="s">
        <v>7</v>
      </c>
      <c r="G40">
        <v>10</v>
      </c>
      <c r="H40" s="3" t="s">
        <v>54</v>
      </c>
      <c r="I40" t="s">
        <v>75</v>
      </c>
      <c r="J40">
        <v>5.3478260000000004</v>
      </c>
      <c r="K40">
        <v>3.8403879999999999</v>
      </c>
      <c r="L40">
        <v>10</v>
      </c>
      <c r="M40">
        <f>IFERROR(Table1[[#This Row],[avg_score]]/Table1[[#This Row],[max_score]]*100,"")</f>
        <v>53.478259999999999</v>
      </c>
      <c r="N40">
        <f>IFERROR(Table1[[#This Row],[std_score]]/Table1[[#This Row],[max_score]]*100,"")</f>
        <v>38.403880000000001</v>
      </c>
    </row>
    <row r="41" spans="1:14" x14ac:dyDescent="0.3">
      <c r="A41" t="str">
        <f>_xlfn.CONCAT(Table1[[#This Row],[year]],Table1[[#This Row],[semester]],Table1[[#This Row],[moed]],Table1[[#This Row],[question]],Table1[[#This Row],[section]])</f>
        <v>2023ab3b</v>
      </c>
      <c r="B41">
        <v>2023</v>
      </c>
      <c r="C41" t="s">
        <v>7</v>
      </c>
      <c r="D41" t="s">
        <v>8</v>
      </c>
      <c r="E41">
        <v>3</v>
      </c>
      <c r="F41" t="s">
        <v>8</v>
      </c>
      <c r="G41">
        <v>10</v>
      </c>
      <c r="H41" s="3" t="s">
        <v>55</v>
      </c>
      <c r="I41" t="s">
        <v>76</v>
      </c>
      <c r="J41">
        <v>5.4057969999999997</v>
      </c>
      <c r="K41">
        <v>2.5668950000000001</v>
      </c>
      <c r="L41">
        <v>10</v>
      </c>
      <c r="M41">
        <f>IFERROR(Table1[[#This Row],[avg_score]]/Table1[[#This Row],[max_score]]*100,"")</f>
        <v>54.057969999999997</v>
      </c>
      <c r="N41">
        <f>IFERROR(Table1[[#This Row],[std_score]]/Table1[[#This Row],[max_score]]*100,"")</f>
        <v>25.668950000000002</v>
      </c>
    </row>
    <row r="42" spans="1:14" x14ac:dyDescent="0.3">
      <c r="A42" t="str">
        <f>_xlfn.CONCAT(Table1[[#This Row],[year]],Table1[[#This Row],[semester]],Table1[[#This Row],[moed]],Table1[[#This Row],[question]],Table1[[#This Row],[section]])</f>
        <v>2023ab4a</v>
      </c>
      <c r="B42">
        <v>2023</v>
      </c>
      <c r="C42" t="s">
        <v>7</v>
      </c>
      <c r="D42" t="s">
        <v>8</v>
      </c>
      <c r="E42">
        <v>4</v>
      </c>
      <c r="F42" t="s">
        <v>7</v>
      </c>
      <c r="G42">
        <v>10</v>
      </c>
      <c r="H42" s="3" t="s">
        <v>56</v>
      </c>
      <c r="I42" t="s">
        <v>80</v>
      </c>
      <c r="J42">
        <v>7</v>
      </c>
      <c r="K42">
        <v>3.3879579999999998</v>
      </c>
      <c r="L42">
        <v>10</v>
      </c>
      <c r="M42">
        <f>IFERROR(Table1[[#This Row],[avg_score]]/Table1[[#This Row],[max_score]]*100,"")</f>
        <v>70</v>
      </c>
      <c r="N42">
        <f>IFERROR(Table1[[#This Row],[std_score]]/Table1[[#This Row],[max_score]]*100,"")</f>
        <v>33.879579999999997</v>
      </c>
    </row>
    <row r="43" spans="1:14" x14ac:dyDescent="0.3">
      <c r="A43" t="str">
        <f>_xlfn.CONCAT(Table1[[#This Row],[year]],Table1[[#This Row],[semester]],Table1[[#This Row],[moed]],Table1[[#This Row],[question]],Table1[[#This Row],[section]])</f>
        <v>2023ab4b</v>
      </c>
      <c r="B43">
        <v>2023</v>
      </c>
      <c r="C43" t="s">
        <v>7</v>
      </c>
      <c r="D43" t="s">
        <v>8</v>
      </c>
      <c r="E43">
        <v>4</v>
      </c>
      <c r="F43" t="s">
        <v>8</v>
      </c>
      <c r="G43">
        <v>10</v>
      </c>
      <c r="H43" t="s">
        <v>57</v>
      </c>
      <c r="I43" t="s">
        <v>77</v>
      </c>
      <c r="J43">
        <v>4.2463769999999998</v>
      </c>
      <c r="K43">
        <v>3.6768200000000002</v>
      </c>
      <c r="L43">
        <v>10</v>
      </c>
      <c r="M43">
        <f>IFERROR(Table1[[#This Row],[avg_score]]/Table1[[#This Row],[max_score]]*100,"")</f>
        <v>42.463770000000004</v>
      </c>
      <c r="N43">
        <f>IFERROR(Table1[[#This Row],[std_score]]/Table1[[#This Row],[max_score]]*100,"")</f>
        <v>36.7682</v>
      </c>
    </row>
    <row r="44" spans="1:14" x14ac:dyDescent="0.3">
      <c r="A44" t="str">
        <f>_xlfn.CONCAT(Table1[[#This Row],[year]],Table1[[#This Row],[semester]],Table1[[#This Row],[moed]],Table1[[#This Row],[question]],Table1[[#This Row],[section]])</f>
        <v>2023ab5a</v>
      </c>
      <c r="B44">
        <v>2023</v>
      </c>
      <c r="C44" t="s">
        <v>7</v>
      </c>
      <c r="D44" t="s">
        <v>8</v>
      </c>
      <c r="E44">
        <v>5</v>
      </c>
      <c r="F44" t="s">
        <v>7</v>
      </c>
      <c r="G44">
        <v>10</v>
      </c>
      <c r="H44" s="3" t="s">
        <v>58</v>
      </c>
      <c r="I44" t="s">
        <v>78</v>
      </c>
      <c r="J44">
        <v>7.6086960000000001</v>
      </c>
      <c r="K44">
        <v>3.431387</v>
      </c>
      <c r="L44">
        <v>10</v>
      </c>
      <c r="M44">
        <f>IFERROR(Table1[[#This Row],[avg_score]]/Table1[[#This Row],[max_score]]*100,"")</f>
        <v>76.086960000000005</v>
      </c>
      <c r="N44">
        <f>IFERROR(Table1[[#This Row],[std_score]]/Table1[[#This Row],[max_score]]*100,"")</f>
        <v>34.313870000000001</v>
      </c>
    </row>
    <row r="45" spans="1:14" x14ac:dyDescent="0.3">
      <c r="A45" t="str">
        <f>_xlfn.CONCAT(Table1[[#This Row],[year]],Table1[[#This Row],[semester]],Table1[[#This Row],[moed]],Table1[[#This Row],[question]],Table1[[#This Row],[section]])</f>
        <v>2023ab5b</v>
      </c>
      <c r="B45">
        <v>2023</v>
      </c>
      <c r="C45" t="s">
        <v>7</v>
      </c>
      <c r="D45" t="s">
        <v>8</v>
      </c>
      <c r="E45">
        <v>5</v>
      </c>
      <c r="F45" t="s">
        <v>8</v>
      </c>
      <c r="G45">
        <v>10</v>
      </c>
      <c r="H45" s="3" t="s">
        <v>59</v>
      </c>
      <c r="I45" t="s">
        <v>79</v>
      </c>
      <c r="J45">
        <v>3.4347829999999999</v>
      </c>
      <c r="K45">
        <v>3.0903230000000002</v>
      </c>
      <c r="L45">
        <v>10</v>
      </c>
      <c r="M45">
        <f>IFERROR(Table1[[#This Row],[avg_score]]/Table1[[#This Row],[max_score]]*100,"")</f>
        <v>34.347830000000002</v>
      </c>
      <c r="N45">
        <f>IFERROR(Table1[[#This Row],[std_score]]/Table1[[#This Row],[max_score]]*100,"")</f>
        <v>30.903230000000004</v>
      </c>
    </row>
    <row r="46" spans="1:14" x14ac:dyDescent="0.3">
      <c r="A46" t="str">
        <f>_xlfn.CONCAT(Table1[[#This Row],[year]],Table1[[#This Row],[semester]],Table1[[#This Row],[moed]],Table1[[#This Row],[question]],Table1[[#This Row],[section]])</f>
        <v>2024aa1a</v>
      </c>
      <c r="B46">
        <v>2024</v>
      </c>
      <c r="C46" t="s">
        <v>7</v>
      </c>
      <c r="D46" t="s">
        <v>7</v>
      </c>
      <c r="E46">
        <v>1</v>
      </c>
      <c r="F46" t="s">
        <v>7</v>
      </c>
      <c r="G46">
        <v>10</v>
      </c>
      <c r="H46" s="2" t="s">
        <v>27</v>
      </c>
      <c r="I46" t="s">
        <v>81</v>
      </c>
      <c r="J46">
        <v>6.9907830000000004</v>
      </c>
      <c r="K46">
        <v>2.9760810000000002</v>
      </c>
      <c r="L46">
        <v>10</v>
      </c>
      <c r="M46">
        <f>IFERROR(Table1[[#This Row],[avg_score]]/Table1[[#This Row],[max_score]]*100,"")</f>
        <v>69.907830000000004</v>
      </c>
      <c r="N46">
        <f>IFERROR(Table1[[#This Row],[std_score]]/Table1[[#This Row],[max_score]]*100,"")</f>
        <v>29.760810000000003</v>
      </c>
    </row>
    <row r="47" spans="1:14" x14ac:dyDescent="0.3">
      <c r="A47" t="str">
        <f>_xlfn.CONCAT(Table1[[#This Row],[year]],Table1[[#This Row],[semester]],Table1[[#This Row],[moed]],Table1[[#This Row],[question]],Table1[[#This Row],[section]])</f>
        <v>2024aa1b</v>
      </c>
      <c r="B47">
        <v>2024</v>
      </c>
      <c r="C47" t="s">
        <v>7</v>
      </c>
      <c r="D47" t="s">
        <v>7</v>
      </c>
      <c r="E47">
        <v>1</v>
      </c>
      <c r="F47" t="s">
        <v>8</v>
      </c>
      <c r="G47">
        <v>10</v>
      </c>
      <c r="H47" s="2" t="s">
        <v>28</v>
      </c>
      <c r="I47" t="s">
        <v>82</v>
      </c>
      <c r="J47">
        <v>4.9400919999999999</v>
      </c>
      <c r="K47">
        <v>3.6229049999999998</v>
      </c>
      <c r="L47">
        <v>10</v>
      </c>
      <c r="M47">
        <f>IFERROR(Table1[[#This Row],[avg_score]]/Table1[[#This Row],[max_score]]*100,"")</f>
        <v>49.400919999999999</v>
      </c>
      <c r="N47">
        <f>IFERROR(Table1[[#This Row],[std_score]]/Table1[[#This Row],[max_score]]*100,"")</f>
        <v>36.229049999999994</v>
      </c>
    </row>
    <row r="48" spans="1:14" x14ac:dyDescent="0.3">
      <c r="A48" t="str">
        <f>_xlfn.CONCAT(Table1[[#This Row],[year]],Table1[[#This Row],[semester]],Table1[[#This Row],[moed]],Table1[[#This Row],[question]],Table1[[#This Row],[section]])</f>
        <v>2024aa2a</v>
      </c>
      <c r="B48">
        <v>2024</v>
      </c>
      <c r="C48" t="s">
        <v>7</v>
      </c>
      <c r="D48" t="s">
        <v>7</v>
      </c>
      <c r="E48">
        <v>2</v>
      </c>
      <c r="F48" t="s">
        <v>7</v>
      </c>
      <c r="G48">
        <v>10</v>
      </c>
      <c r="H48" s="2" t="s">
        <v>29</v>
      </c>
      <c r="I48" t="s">
        <v>83</v>
      </c>
      <c r="J48">
        <v>7.4654379999999998</v>
      </c>
      <c r="K48">
        <v>3.1108479999999998</v>
      </c>
      <c r="L48">
        <v>10</v>
      </c>
      <c r="M48">
        <f>IFERROR(Table1[[#This Row],[avg_score]]/Table1[[#This Row],[max_score]]*100,"")</f>
        <v>74.654380000000003</v>
      </c>
      <c r="N48">
        <f>IFERROR(Table1[[#This Row],[std_score]]/Table1[[#This Row],[max_score]]*100,"")</f>
        <v>31.10848</v>
      </c>
    </row>
    <row r="49" spans="1:14" x14ac:dyDescent="0.3">
      <c r="A49" t="str">
        <f>_xlfn.CONCAT(Table1[[#This Row],[year]],Table1[[#This Row],[semester]],Table1[[#This Row],[moed]],Table1[[#This Row],[question]],Table1[[#This Row],[section]])</f>
        <v>2024aa2b</v>
      </c>
      <c r="B49">
        <v>2024</v>
      </c>
      <c r="C49" t="s">
        <v>7</v>
      </c>
      <c r="D49" t="s">
        <v>7</v>
      </c>
      <c r="E49">
        <v>2</v>
      </c>
      <c r="F49" t="s">
        <v>8</v>
      </c>
      <c r="G49">
        <v>10</v>
      </c>
      <c r="H49" s="2" t="s">
        <v>30</v>
      </c>
      <c r="I49" t="s">
        <v>84</v>
      </c>
      <c r="J49">
        <v>6.8341010000000004</v>
      </c>
      <c r="K49">
        <v>3.9279380000000002</v>
      </c>
      <c r="L49">
        <v>10</v>
      </c>
      <c r="M49">
        <f>IFERROR(Table1[[#This Row],[avg_score]]/Table1[[#This Row],[max_score]]*100,"")</f>
        <v>68.341009999999997</v>
      </c>
      <c r="N49">
        <f>IFERROR(Table1[[#This Row],[std_score]]/Table1[[#This Row],[max_score]]*100,"")</f>
        <v>39.279380000000003</v>
      </c>
    </row>
    <row r="50" spans="1:14" x14ac:dyDescent="0.3">
      <c r="A50" t="str">
        <f>_xlfn.CONCAT(Table1[[#This Row],[year]],Table1[[#This Row],[semester]],Table1[[#This Row],[moed]],Table1[[#This Row],[question]],Table1[[#This Row],[section]])</f>
        <v>2024aa3a</v>
      </c>
      <c r="B50">
        <v>2024</v>
      </c>
      <c r="C50" t="s">
        <v>7</v>
      </c>
      <c r="D50" t="s">
        <v>7</v>
      </c>
      <c r="E50">
        <v>3</v>
      </c>
      <c r="F50" t="s">
        <v>7</v>
      </c>
      <c r="G50">
        <v>10</v>
      </c>
      <c r="H50" s="2" t="s">
        <v>31</v>
      </c>
      <c r="I50" t="s">
        <v>85</v>
      </c>
      <c r="J50">
        <v>5.8847930000000002</v>
      </c>
      <c r="K50">
        <v>3.410555</v>
      </c>
      <c r="L50">
        <v>10</v>
      </c>
      <c r="M50">
        <f>IFERROR(Table1[[#This Row],[avg_score]]/Table1[[#This Row],[max_score]]*100,"")</f>
        <v>58.847930000000005</v>
      </c>
      <c r="N50">
        <f>IFERROR(Table1[[#This Row],[std_score]]/Table1[[#This Row],[max_score]]*100,"")</f>
        <v>34.105550000000001</v>
      </c>
    </row>
    <row r="51" spans="1:14" ht="14.4" customHeight="1" x14ac:dyDescent="0.3">
      <c r="A51" t="str">
        <f>_xlfn.CONCAT(Table1[[#This Row],[year]],Table1[[#This Row],[semester]],Table1[[#This Row],[moed]],Table1[[#This Row],[question]],Table1[[#This Row],[section]])</f>
        <v>2024aa3b</v>
      </c>
      <c r="B51">
        <v>2024</v>
      </c>
      <c r="C51" t="s">
        <v>7</v>
      </c>
      <c r="D51" t="s">
        <v>7</v>
      </c>
      <c r="E51">
        <v>3</v>
      </c>
      <c r="F51" t="s">
        <v>8</v>
      </c>
      <c r="G51">
        <v>10</v>
      </c>
      <c r="H51" s="2" t="s">
        <v>32</v>
      </c>
      <c r="I51" s="1" t="s">
        <v>86</v>
      </c>
      <c r="J51">
        <v>7.2626730000000004</v>
      </c>
      <c r="K51">
        <v>3.9664649999999999</v>
      </c>
      <c r="L51">
        <v>10</v>
      </c>
      <c r="M51">
        <f>IFERROR(Table1[[#This Row],[avg_score]]/Table1[[#This Row],[max_score]]*100,"")</f>
        <v>72.626730000000009</v>
      </c>
      <c r="N51">
        <f>IFERROR(Table1[[#This Row],[std_score]]/Table1[[#This Row],[max_score]]*100,"")</f>
        <v>39.664650000000002</v>
      </c>
    </row>
    <row r="52" spans="1:14" x14ac:dyDescent="0.3">
      <c r="A52" t="str">
        <f>_xlfn.CONCAT(Table1[[#This Row],[year]],Table1[[#This Row],[semester]],Table1[[#This Row],[moed]],Table1[[#This Row],[question]],Table1[[#This Row],[section]])</f>
        <v>2024aa4a</v>
      </c>
      <c r="B52">
        <v>2024</v>
      </c>
      <c r="C52" t="s">
        <v>7</v>
      </c>
      <c r="D52" t="s">
        <v>7</v>
      </c>
      <c r="E52">
        <v>4</v>
      </c>
      <c r="F52" t="s">
        <v>7</v>
      </c>
      <c r="G52">
        <v>10</v>
      </c>
      <c r="H52" s="2" t="s">
        <v>33</v>
      </c>
      <c r="I52" t="s">
        <v>87</v>
      </c>
      <c r="J52">
        <v>9.3410139999999995</v>
      </c>
      <c r="K52">
        <v>1.6886239999999999</v>
      </c>
      <c r="L52">
        <v>10</v>
      </c>
      <c r="M52">
        <f>IFERROR(Table1[[#This Row],[avg_score]]/Table1[[#This Row],[max_score]]*100,"")</f>
        <v>93.410139999999998</v>
      </c>
      <c r="N52">
        <f>IFERROR(Table1[[#This Row],[std_score]]/Table1[[#This Row],[max_score]]*100,"")</f>
        <v>16.886240000000001</v>
      </c>
    </row>
    <row r="53" spans="1:14" x14ac:dyDescent="0.3">
      <c r="A53" t="str">
        <f>_xlfn.CONCAT(Table1[[#This Row],[year]],Table1[[#This Row],[semester]],Table1[[#This Row],[moed]],Table1[[#This Row],[question]],Table1[[#This Row],[section]])</f>
        <v>2024aa4b</v>
      </c>
      <c r="B53">
        <v>2024</v>
      </c>
      <c r="C53" t="s">
        <v>7</v>
      </c>
      <c r="D53" t="s">
        <v>7</v>
      </c>
      <c r="E53">
        <v>4</v>
      </c>
      <c r="F53" t="s">
        <v>8</v>
      </c>
      <c r="G53">
        <v>10</v>
      </c>
      <c r="H53" s="2" t="s">
        <v>34</v>
      </c>
      <c r="I53" t="s">
        <v>88</v>
      </c>
      <c r="J53">
        <v>9.1290320000000005</v>
      </c>
      <c r="K53">
        <v>2.0050479999999999</v>
      </c>
      <c r="L53">
        <v>10</v>
      </c>
      <c r="M53">
        <f>IFERROR(Table1[[#This Row],[avg_score]]/Table1[[#This Row],[max_score]]*100,"")</f>
        <v>91.290320000000008</v>
      </c>
      <c r="N53">
        <f>IFERROR(Table1[[#This Row],[std_score]]/Table1[[#This Row],[max_score]]*100,"")</f>
        <v>20.050479999999997</v>
      </c>
    </row>
    <row r="54" spans="1:14" x14ac:dyDescent="0.3">
      <c r="A54" t="str">
        <f>_xlfn.CONCAT(Table1[[#This Row],[year]],Table1[[#This Row],[semester]],Table1[[#This Row],[moed]],Table1[[#This Row],[question]],Table1[[#This Row],[section]])</f>
        <v>2024aa5a</v>
      </c>
      <c r="B54">
        <v>2024</v>
      </c>
      <c r="C54" t="s">
        <v>7</v>
      </c>
      <c r="D54" t="s">
        <v>7</v>
      </c>
      <c r="E54">
        <v>5</v>
      </c>
      <c r="F54" t="s">
        <v>7</v>
      </c>
      <c r="G54">
        <v>10</v>
      </c>
      <c r="H54" s="2" t="s">
        <v>35</v>
      </c>
      <c r="I54" t="s">
        <v>89</v>
      </c>
      <c r="J54">
        <v>6.3271889999999997</v>
      </c>
      <c r="K54">
        <v>3.666871</v>
      </c>
      <c r="L54">
        <v>10</v>
      </c>
      <c r="M54">
        <f>IFERROR(Table1[[#This Row],[avg_score]]/Table1[[#This Row],[max_score]]*100,"")</f>
        <v>63.271889999999999</v>
      </c>
      <c r="N54">
        <f>IFERROR(Table1[[#This Row],[std_score]]/Table1[[#This Row],[max_score]]*100,"")</f>
        <v>36.668709999999997</v>
      </c>
    </row>
    <row r="55" spans="1:14" x14ac:dyDescent="0.3">
      <c r="A55" t="str">
        <f>_xlfn.CONCAT(Table1[[#This Row],[year]],Table1[[#This Row],[semester]],Table1[[#This Row],[moed]],Table1[[#This Row],[question]],Table1[[#This Row],[section]])</f>
        <v>2024aa5b</v>
      </c>
      <c r="B55">
        <v>2024</v>
      </c>
      <c r="C55" t="s">
        <v>7</v>
      </c>
      <c r="D55" t="s">
        <v>7</v>
      </c>
      <c r="E55">
        <v>5</v>
      </c>
      <c r="F55" t="s">
        <v>8</v>
      </c>
      <c r="G55">
        <v>10</v>
      </c>
      <c r="H55" s="2" t="s">
        <v>36</v>
      </c>
      <c r="I55" t="s">
        <v>90</v>
      </c>
      <c r="J55">
        <v>6.1428570000000002</v>
      </c>
      <c r="K55">
        <v>3.3315769999999998</v>
      </c>
      <c r="L55">
        <v>10</v>
      </c>
      <c r="M55">
        <f>IFERROR(Table1[[#This Row],[avg_score]]/Table1[[#This Row],[max_score]]*100,"")</f>
        <v>61.428570000000008</v>
      </c>
      <c r="N55">
        <f>IFERROR(Table1[[#This Row],[std_score]]/Table1[[#This Row],[max_score]]*100,"")</f>
        <v>33.315770000000001</v>
      </c>
    </row>
    <row r="56" spans="1:14" x14ac:dyDescent="0.3">
      <c r="A56" t="str">
        <f>_xlfn.CONCAT(Table1[[#This Row],[year]],Table1[[#This Row],[semester]],Table1[[#This Row],[moed]],Table1[[#This Row],[question]],Table1[[#This Row],[section]])</f>
        <v>2024ab1a</v>
      </c>
      <c r="B56">
        <v>2024</v>
      </c>
      <c r="C56" t="s">
        <v>7</v>
      </c>
      <c r="D56" t="s">
        <v>8</v>
      </c>
      <c r="E56">
        <v>1</v>
      </c>
      <c r="F56" t="s">
        <v>7</v>
      </c>
      <c r="G56">
        <v>10</v>
      </c>
      <c r="H56" s="2" t="s">
        <v>17</v>
      </c>
      <c r="I56" t="s">
        <v>91</v>
      </c>
      <c r="J56">
        <v>7.6330280000000004</v>
      </c>
      <c r="K56">
        <v>2.5724740000000001</v>
      </c>
      <c r="L56">
        <v>10</v>
      </c>
      <c r="M56">
        <f>IFERROR(Table1[[#This Row],[avg_score]]/Table1[[#This Row],[max_score]]*100,"")</f>
        <v>76.330280000000002</v>
      </c>
      <c r="N56">
        <f>IFERROR(Table1[[#This Row],[std_score]]/Table1[[#This Row],[max_score]]*100,"")</f>
        <v>25.724740000000001</v>
      </c>
    </row>
    <row r="57" spans="1:14" x14ac:dyDescent="0.3">
      <c r="A57" t="str">
        <f>_xlfn.CONCAT(Table1[[#This Row],[year]],Table1[[#This Row],[semester]],Table1[[#This Row],[moed]],Table1[[#This Row],[question]],Table1[[#This Row],[section]])</f>
        <v>2024ab1b</v>
      </c>
      <c r="B57">
        <v>2024</v>
      </c>
      <c r="C57" t="s">
        <v>7</v>
      </c>
      <c r="D57" t="s">
        <v>8</v>
      </c>
      <c r="E57">
        <v>1</v>
      </c>
      <c r="F57" t="s">
        <v>8</v>
      </c>
      <c r="G57">
        <v>10</v>
      </c>
      <c r="H57" s="2" t="s">
        <v>18</v>
      </c>
      <c r="I57" t="s">
        <v>92</v>
      </c>
      <c r="J57">
        <v>8.7064219999999999</v>
      </c>
      <c r="K57">
        <v>2.603113</v>
      </c>
      <c r="L57">
        <v>10</v>
      </c>
      <c r="M57">
        <f>IFERROR(Table1[[#This Row],[avg_score]]/Table1[[#This Row],[max_score]]*100,"")</f>
        <v>87.064220000000006</v>
      </c>
      <c r="N57">
        <f>IFERROR(Table1[[#This Row],[std_score]]/Table1[[#This Row],[max_score]]*100,"")</f>
        <v>26.031130000000001</v>
      </c>
    </row>
    <row r="58" spans="1:14" x14ac:dyDescent="0.3">
      <c r="A58" t="str">
        <f>_xlfn.CONCAT(Table1[[#This Row],[year]],Table1[[#This Row],[semester]],Table1[[#This Row],[moed]],Table1[[#This Row],[question]],Table1[[#This Row],[section]])</f>
        <v>2024ab2a</v>
      </c>
      <c r="B58">
        <v>2024</v>
      </c>
      <c r="C58" t="s">
        <v>7</v>
      </c>
      <c r="D58" t="s">
        <v>8</v>
      </c>
      <c r="E58">
        <v>2</v>
      </c>
      <c r="F58" t="s">
        <v>7</v>
      </c>
      <c r="G58">
        <v>10</v>
      </c>
      <c r="H58" s="2" t="s">
        <v>19</v>
      </c>
      <c r="I58" t="s">
        <v>93</v>
      </c>
      <c r="J58">
        <v>9.1009170000000008</v>
      </c>
      <c r="K58">
        <v>1.713117</v>
      </c>
      <c r="L58">
        <v>10</v>
      </c>
      <c r="M58">
        <f>IFERROR(Table1[[#This Row],[avg_score]]/Table1[[#This Row],[max_score]]*100,"")</f>
        <v>91.009170000000012</v>
      </c>
      <c r="N58">
        <f>IFERROR(Table1[[#This Row],[std_score]]/Table1[[#This Row],[max_score]]*100,"")</f>
        <v>17.131170000000001</v>
      </c>
    </row>
    <row r="59" spans="1:14" x14ac:dyDescent="0.3">
      <c r="A59" t="str">
        <f>_xlfn.CONCAT(Table1[[#This Row],[year]],Table1[[#This Row],[semester]],Table1[[#This Row],[moed]],Table1[[#This Row],[question]],Table1[[#This Row],[section]])</f>
        <v>2024ab2b</v>
      </c>
      <c r="B59">
        <v>2024</v>
      </c>
      <c r="C59" t="s">
        <v>7</v>
      </c>
      <c r="D59" t="s">
        <v>8</v>
      </c>
      <c r="E59">
        <v>2</v>
      </c>
      <c r="F59" t="s">
        <v>8</v>
      </c>
      <c r="G59">
        <v>10</v>
      </c>
      <c r="H59" s="2" t="s">
        <v>20</v>
      </c>
      <c r="I59" t="s">
        <v>94</v>
      </c>
      <c r="J59">
        <v>8.6513760000000008</v>
      </c>
      <c r="K59">
        <v>1.416652</v>
      </c>
      <c r="L59">
        <v>10</v>
      </c>
      <c r="M59">
        <f>IFERROR(Table1[[#This Row],[avg_score]]/Table1[[#This Row],[max_score]]*100,"")</f>
        <v>86.513760000000005</v>
      </c>
      <c r="N59">
        <f>IFERROR(Table1[[#This Row],[std_score]]/Table1[[#This Row],[max_score]]*100,"")</f>
        <v>14.166519999999998</v>
      </c>
    </row>
    <row r="60" spans="1:14" x14ac:dyDescent="0.3">
      <c r="A60" t="str">
        <f>_xlfn.CONCAT(Table1[[#This Row],[year]],Table1[[#This Row],[semester]],Table1[[#This Row],[moed]],Table1[[#This Row],[question]],Table1[[#This Row],[section]])</f>
        <v>2024ab3a</v>
      </c>
      <c r="B60">
        <v>2024</v>
      </c>
      <c r="C60" t="s">
        <v>7</v>
      </c>
      <c r="D60" t="s">
        <v>8</v>
      </c>
      <c r="E60">
        <v>3</v>
      </c>
      <c r="F60" t="s">
        <v>7</v>
      </c>
      <c r="G60">
        <v>8</v>
      </c>
      <c r="H60" s="2" t="s">
        <v>21</v>
      </c>
      <c r="I60" t="s">
        <v>95</v>
      </c>
      <c r="J60">
        <v>6.8899080000000001</v>
      </c>
      <c r="K60">
        <v>2.234588</v>
      </c>
      <c r="L60">
        <v>8</v>
      </c>
      <c r="M60">
        <f>IFERROR(Table1[[#This Row],[avg_score]]/Table1[[#This Row],[max_score]]*100,"")</f>
        <v>86.123850000000004</v>
      </c>
      <c r="N60">
        <f>IFERROR(Table1[[#This Row],[std_score]]/Table1[[#This Row],[max_score]]*100,"")</f>
        <v>27.93235</v>
      </c>
    </row>
    <row r="61" spans="1:14" x14ac:dyDescent="0.3">
      <c r="A61" t="str">
        <f>_xlfn.CONCAT(Table1[[#This Row],[year]],Table1[[#This Row],[semester]],Table1[[#This Row],[moed]],Table1[[#This Row],[question]],Table1[[#This Row],[section]])</f>
        <v>2024ab3b</v>
      </c>
      <c r="B61">
        <v>2024</v>
      </c>
      <c r="C61" t="s">
        <v>7</v>
      </c>
      <c r="D61" t="s">
        <v>8</v>
      </c>
      <c r="E61">
        <v>3</v>
      </c>
      <c r="F61" t="s">
        <v>8</v>
      </c>
      <c r="G61">
        <v>12</v>
      </c>
      <c r="H61" s="2" t="s">
        <v>22</v>
      </c>
      <c r="I61" t="s">
        <v>96</v>
      </c>
      <c r="J61">
        <v>5.9834860000000001</v>
      </c>
      <c r="K61">
        <v>4.0466889999999998</v>
      </c>
      <c r="L61">
        <v>12</v>
      </c>
      <c r="M61">
        <f>IFERROR(Table1[[#This Row],[avg_score]]/Table1[[#This Row],[max_score]]*100,"")</f>
        <v>49.862383333333334</v>
      </c>
      <c r="N61">
        <f>IFERROR(Table1[[#This Row],[std_score]]/Table1[[#This Row],[max_score]]*100,"")</f>
        <v>33.722408333333334</v>
      </c>
    </row>
    <row r="62" spans="1:14" ht="14.4" customHeight="1" x14ac:dyDescent="0.3">
      <c r="A62" t="str">
        <f>_xlfn.CONCAT(Table1[[#This Row],[year]],Table1[[#This Row],[semester]],Table1[[#This Row],[moed]],Table1[[#This Row],[question]],Table1[[#This Row],[section]])</f>
        <v>2024ab4a</v>
      </c>
      <c r="B62">
        <v>2024</v>
      </c>
      <c r="C62" t="s">
        <v>7</v>
      </c>
      <c r="D62" t="s">
        <v>8</v>
      </c>
      <c r="E62">
        <v>4</v>
      </c>
      <c r="F62" t="s">
        <v>7</v>
      </c>
      <c r="G62">
        <v>10</v>
      </c>
      <c r="H62" s="2" t="s">
        <v>23</v>
      </c>
      <c r="I62" t="s">
        <v>97</v>
      </c>
      <c r="J62">
        <v>8.5779820000000004</v>
      </c>
      <c r="K62">
        <v>2.7637679999999998</v>
      </c>
      <c r="L62">
        <v>10</v>
      </c>
      <c r="M62">
        <f>IFERROR(Table1[[#This Row],[avg_score]]/Table1[[#This Row],[max_score]]*100,"")</f>
        <v>85.779820000000001</v>
      </c>
      <c r="N62">
        <f>IFERROR(Table1[[#This Row],[std_score]]/Table1[[#This Row],[max_score]]*100,"")</f>
        <v>27.637679999999996</v>
      </c>
    </row>
    <row r="63" spans="1:14" ht="14.4" customHeight="1" x14ac:dyDescent="0.3">
      <c r="A63" t="str">
        <f>_xlfn.CONCAT(Table1[[#This Row],[year]],Table1[[#This Row],[semester]],Table1[[#This Row],[moed]],Table1[[#This Row],[question]],Table1[[#This Row],[section]])</f>
        <v>2024ab4b</v>
      </c>
      <c r="B63">
        <v>2024</v>
      </c>
      <c r="C63" t="s">
        <v>7</v>
      </c>
      <c r="D63" t="s">
        <v>8</v>
      </c>
      <c r="E63">
        <v>4</v>
      </c>
      <c r="F63" t="s">
        <v>8</v>
      </c>
      <c r="G63">
        <v>10</v>
      </c>
      <c r="H63" s="2" t="s">
        <v>24</v>
      </c>
      <c r="I63" t="s">
        <v>98</v>
      </c>
      <c r="J63">
        <v>7.9082569999999999</v>
      </c>
      <c r="K63">
        <v>3.2127650000000001</v>
      </c>
      <c r="L63">
        <v>10</v>
      </c>
      <c r="M63">
        <f>IFERROR(Table1[[#This Row],[avg_score]]/Table1[[#This Row],[max_score]]*100,"")</f>
        <v>79.08256999999999</v>
      </c>
      <c r="N63">
        <f>IFERROR(Table1[[#This Row],[std_score]]/Table1[[#This Row],[max_score]]*100,"")</f>
        <v>32.127650000000003</v>
      </c>
    </row>
    <row r="64" spans="1:14" x14ac:dyDescent="0.3">
      <c r="A64" t="str">
        <f>_xlfn.CONCAT(Table1[[#This Row],[year]],Table1[[#This Row],[semester]],Table1[[#This Row],[moed]],Table1[[#This Row],[question]],Table1[[#This Row],[section]])</f>
        <v>2024ab5a</v>
      </c>
      <c r="B64">
        <v>2024</v>
      </c>
      <c r="C64" t="s">
        <v>7</v>
      </c>
      <c r="D64" t="s">
        <v>8</v>
      </c>
      <c r="E64">
        <v>5</v>
      </c>
      <c r="F64" t="s">
        <v>7</v>
      </c>
      <c r="G64">
        <v>10</v>
      </c>
      <c r="H64" s="2" t="s">
        <v>25</v>
      </c>
      <c r="I64" t="s">
        <v>99</v>
      </c>
      <c r="J64">
        <v>8.7522939999999991</v>
      </c>
      <c r="K64">
        <v>2.2264300000000001</v>
      </c>
      <c r="L64">
        <v>10</v>
      </c>
      <c r="M64">
        <f>IFERROR(Table1[[#This Row],[avg_score]]/Table1[[#This Row],[max_score]]*100,"")</f>
        <v>87.522939999999991</v>
      </c>
      <c r="N64">
        <f>IFERROR(Table1[[#This Row],[std_score]]/Table1[[#This Row],[max_score]]*100,"")</f>
        <v>22.264300000000002</v>
      </c>
    </row>
    <row r="65" spans="1:14" x14ac:dyDescent="0.3">
      <c r="A65" t="str">
        <f>_xlfn.CONCAT(Table1[[#This Row],[year]],Table1[[#This Row],[semester]],Table1[[#This Row],[moed]],Table1[[#This Row],[question]],Table1[[#This Row],[section]])</f>
        <v>2024ab5b</v>
      </c>
      <c r="B65">
        <v>2024</v>
      </c>
      <c r="C65" t="s">
        <v>7</v>
      </c>
      <c r="D65" t="s">
        <v>8</v>
      </c>
      <c r="E65">
        <v>5</v>
      </c>
      <c r="F65" t="s">
        <v>8</v>
      </c>
      <c r="G65">
        <v>10</v>
      </c>
      <c r="H65" s="2" t="s">
        <v>26</v>
      </c>
      <c r="I65" t="s">
        <v>100</v>
      </c>
      <c r="J65">
        <v>7.7339450000000003</v>
      </c>
      <c r="K65">
        <v>2.7748620000000002</v>
      </c>
      <c r="L65">
        <v>10</v>
      </c>
      <c r="M65">
        <f>IFERROR(Table1[[#This Row],[avg_score]]/Table1[[#This Row],[max_score]]*100,"")</f>
        <v>77.339449999999999</v>
      </c>
      <c r="N65">
        <f>IFERROR(Table1[[#This Row],[std_score]]/Table1[[#This Row],[max_score]]*100,"")</f>
        <v>27.748620000000003</v>
      </c>
    </row>
    <row r="66" spans="1:14" x14ac:dyDescent="0.3">
      <c r="A66" t="str">
        <f>_xlfn.CONCAT(Table1[[#This Row],[year]],Table1[[#This Row],[semester]],Table1[[#This Row],[moed]],Table1[[#This Row],[question]],Table1[[#This Row],[section]])</f>
        <v>2002aa11</v>
      </c>
      <c r="B66">
        <v>2002</v>
      </c>
      <c r="C66" t="s">
        <v>7</v>
      </c>
      <c r="D66" t="s">
        <v>7</v>
      </c>
      <c r="E66">
        <v>11</v>
      </c>
      <c r="G66">
        <v>13</v>
      </c>
      <c r="H66" t="s">
        <v>210</v>
      </c>
      <c r="I66" t="s">
        <v>211</v>
      </c>
      <c r="M66" t="str">
        <f>IFERROR(Table1[[#This Row],[avg_score]]/Table1[[#This Row],[max_score]]*100,"")</f>
        <v/>
      </c>
      <c r="N66" t="str">
        <f>IFERROR(Table1[[#This Row],[std_score]]/Table1[[#This Row],[max_score]]*100,"")</f>
        <v/>
      </c>
    </row>
    <row r="67" spans="1:14" x14ac:dyDescent="0.3">
      <c r="A67" t="str">
        <f>_xlfn.CONCAT(Table1[[#This Row],[year]],Table1[[#This Row],[semester]],Table1[[#This Row],[moed]],Table1[[#This Row],[question]],Table1[[#This Row],[section]])</f>
        <v>2002aa12</v>
      </c>
      <c r="B67">
        <v>2002</v>
      </c>
      <c r="C67" t="s">
        <v>7</v>
      </c>
      <c r="D67" t="s">
        <v>7</v>
      </c>
      <c r="E67">
        <v>12</v>
      </c>
      <c r="G67">
        <v>10</v>
      </c>
      <c r="H67" t="s">
        <v>212</v>
      </c>
      <c r="I67" t="s">
        <v>213</v>
      </c>
      <c r="M67" t="str">
        <f>IFERROR(Table1[[#This Row],[avg_score]]/Table1[[#This Row],[max_score]]*100,"")</f>
        <v/>
      </c>
      <c r="N67" t="str">
        <f>IFERROR(Table1[[#This Row],[std_score]]/Table1[[#This Row],[max_score]]*100,"")</f>
        <v/>
      </c>
    </row>
    <row r="68" spans="1:14" x14ac:dyDescent="0.3">
      <c r="A68" t="str">
        <f>_xlfn.CONCAT(Table1[[#This Row],[year]],Table1[[#This Row],[semester]],Table1[[#This Row],[moed]],Table1[[#This Row],[question]],Table1[[#This Row],[section]])</f>
        <v>2003ba9</v>
      </c>
      <c r="B68">
        <v>2003</v>
      </c>
      <c r="C68" t="s">
        <v>8</v>
      </c>
      <c r="D68" t="s">
        <v>7</v>
      </c>
      <c r="E68">
        <v>9</v>
      </c>
      <c r="H68" t="s">
        <v>214</v>
      </c>
      <c r="I68" t="s">
        <v>215</v>
      </c>
      <c r="M68" t="str">
        <f>IFERROR(Table1[[#This Row],[avg_score]]/Table1[[#This Row],[max_score]]*100,"")</f>
        <v/>
      </c>
      <c r="N68" t="str">
        <f>IFERROR(Table1[[#This Row],[std_score]]/Table1[[#This Row],[max_score]]*100,"")</f>
        <v/>
      </c>
    </row>
    <row r="69" spans="1:14" x14ac:dyDescent="0.3">
      <c r="A69" t="str">
        <f>_xlfn.CONCAT(Table1[[#This Row],[year]],Table1[[#This Row],[semester]],Table1[[#This Row],[moed]],Table1[[#This Row],[question]],Table1[[#This Row],[section]])</f>
        <v>2003ba10.a</v>
      </c>
      <c r="B69">
        <v>2003</v>
      </c>
      <c r="C69" t="s">
        <v>8</v>
      </c>
      <c r="D69" t="s">
        <v>7</v>
      </c>
      <c r="E69" t="s">
        <v>146</v>
      </c>
      <c r="H69" t="s">
        <v>216</v>
      </c>
      <c r="I69" t="s">
        <v>217</v>
      </c>
      <c r="M69" t="str">
        <f>IFERROR(Table1[[#This Row],[avg_score]]/Table1[[#This Row],[max_score]]*100,"")</f>
        <v/>
      </c>
      <c r="N69" t="str">
        <f>IFERROR(Table1[[#This Row],[std_score]]/Table1[[#This Row],[max_score]]*100,"")</f>
        <v/>
      </c>
    </row>
    <row r="70" spans="1:14" x14ac:dyDescent="0.3">
      <c r="A70" t="str">
        <f>_xlfn.CONCAT(Table1[[#This Row],[year]],Table1[[#This Row],[semester]],Table1[[#This Row],[moed]],Table1[[#This Row],[question]],Table1[[#This Row],[section]])</f>
        <v>2003ba10.b</v>
      </c>
      <c r="B70">
        <v>2003</v>
      </c>
      <c r="C70" t="s">
        <v>8</v>
      </c>
      <c r="D70" t="s">
        <v>7</v>
      </c>
      <c r="E70" t="s">
        <v>147</v>
      </c>
      <c r="H70" t="s">
        <v>218</v>
      </c>
      <c r="I70" t="s">
        <v>219</v>
      </c>
      <c r="M70" t="str">
        <f>IFERROR(Table1[[#This Row],[avg_score]]/Table1[[#This Row],[max_score]]*100,"")</f>
        <v/>
      </c>
      <c r="N70" t="str">
        <f>IFERROR(Table1[[#This Row],[std_score]]/Table1[[#This Row],[max_score]]*100,"")</f>
        <v/>
      </c>
    </row>
    <row r="71" spans="1:14" x14ac:dyDescent="0.3">
      <c r="A71" t="str">
        <f>_xlfn.CONCAT(Table1[[#This Row],[year]],Table1[[#This Row],[semester]],Table1[[#This Row],[moed]],Table1[[#This Row],[question]],Table1[[#This Row],[section]])</f>
        <v>2004aa1</v>
      </c>
      <c r="B71">
        <v>2004</v>
      </c>
      <c r="C71" t="s">
        <v>7</v>
      </c>
      <c r="D71" t="s">
        <v>7</v>
      </c>
      <c r="E71">
        <v>1</v>
      </c>
      <c r="G71">
        <v>4</v>
      </c>
      <c r="H71" t="s">
        <v>220</v>
      </c>
      <c r="I71" t="s">
        <v>221</v>
      </c>
      <c r="M71" t="str">
        <f>IFERROR(Table1[[#This Row],[avg_score]]/Table1[[#This Row],[max_score]]*100,"")</f>
        <v/>
      </c>
      <c r="N71" t="str">
        <f>IFERROR(Table1[[#This Row],[std_score]]/Table1[[#This Row],[max_score]]*100,"")</f>
        <v/>
      </c>
    </row>
    <row r="72" spans="1:14" x14ac:dyDescent="0.3">
      <c r="A72" t="str">
        <f>_xlfn.CONCAT(Table1[[#This Row],[year]],Table1[[#This Row],[semester]],Table1[[#This Row],[moed]],Table1[[#This Row],[question]],Table1[[#This Row],[section]])</f>
        <v>2004aa2</v>
      </c>
      <c r="B72">
        <v>2004</v>
      </c>
      <c r="C72" t="s">
        <v>7</v>
      </c>
      <c r="D72" t="s">
        <v>7</v>
      </c>
      <c r="E72">
        <v>2</v>
      </c>
      <c r="G72">
        <v>4</v>
      </c>
      <c r="H72" t="s">
        <v>222</v>
      </c>
      <c r="I72" t="s">
        <v>223</v>
      </c>
      <c r="M72" t="str">
        <f>IFERROR(Table1[[#This Row],[avg_score]]/Table1[[#This Row],[max_score]]*100,"")</f>
        <v/>
      </c>
      <c r="N72" t="str">
        <f>IFERROR(Table1[[#This Row],[std_score]]/Table1[[#This Row],[max_score]]*100,"")</f>
        <v/>
      </c>
    </row>
    <row r="73" spans="1:14" x14ac:dyDescent="0.3">
      <c r="A73" t="str">
        <f>_xlfn.CONCAT(Table1[[#This Row],[year]],Table1[[#This Row],[semester]],Table1[[#This Row],[moed]],Table1[[#This Row],[question]],Table1[[#This Row],[section]])</f>
        <v>2004aa3</v>
      </c>
      <c r="B73">
        <v>2004</v>
      </c>
      <c r="C73" t="s">
        <v>7</v>
      </c>
      <c r="D73" t="s">
        <v>7</v>
      </c>
      <c r="E73">
        <v>3</v>
      </c>
      <c r="G73">
        <v>7</v>
      </c>
      <c r="H73" t="s">
        <v>224</v>
      </c>
      <c r="I73" t="s">
        <v>225</v>
      </c>
      <c r="M73" t="str">
        <f>IFERROR(Table1[[#This Row],[avg_score]]/Table1[[#This Row],[max_score]]*100,"")</f>
        <v/>
      </c>
      <c r="N73" t="str">
        <f>IFERROR(Table1[[#This Row],[std_score]]/Table1[[#This Row],[max_score]]*100,"")</f>
        <v/>
      </c>
    </row>
    <row r="74" spans="1:14" x14ac:dyDescent="0.3">
      <c r="A74" t="str">
        <f>_xlfn.CONCAT(Table1[[#This Row],[year]],Table1[[#This Row],[semester]],Table1[[#This Row],[moed]],Table1[[#This Row],[question]],Table1[[#This Row],[section]])</f>
        <v>2004aa4</v>
      </c>
      <c r="B74">
        <v>2004</v>
      </c>
      <c r="C74" t="s">
        <v>7</v>
      </c>
      <c r="D74" t="s">
        <v>7</v>
      </c>
      <c r="E74">
        <v>4</v>
      </c>
      <c r="G74">
        <v>7</v>
      </c>
      <c r="H74" t="s">
        <v>226</v>
      </c>
      <c r="I74" t="s">
        <v>227</v>
      </c>
      <c r="M74" t="str">
        <f>IFERROR(Table1[[#This Row],[avg_score]]/Table1[[#This Row],[max_score]]*100,"")</f>
        <v/>
      </c>
      <c r="N74" t="str">
        <f>IFERROR(Table1[[#This Row],[std_score]]/Table1[[#This Row],[max_score]]*100,"")</f>
        <v/>
      </c>
    </row>
    <row r="75" spans="1:14" x14ac:dyDescent="0.3">
      <c r="A75" t="str">
        <f>_xlfn.CONCAT(Table1[[#This Row],[year]],Table1[[#This Row],[semester]],Table1[[#This Row],[moed]],Table1[[#This Row],[question]],Table1[[#This Row],[section]])</f>
        <v>2004aa5</v>
      </c>
      <c r="B75">
        <v>2004</v>
      </c>
      <c r="C75" t="s">
        <v>7</v>
      </c>
      <c r="D75" t="s">
        <v>7</v>
      </c>
      <c r="E75">
        <v>5</v>
      </c>
      <c r="G75">
        <v>7</v>
      </c>
      <c r="H75" t="s">
        <v>228</v>
      </c>
      <c r="I75" t="s">
        <v>229</v>
      </c>
      <c r="M75" t="str">
        <f>IFERROR(Table1[[#This Row],[avg_score]]/Table1[[#This Row],[max_score]]*100,"")</f>
        <v/>
      </c>
      <c r="N75" t="str">
        <f>IFERROR(Table1[[#This Row],[std_score]]/Table1[[#This Row],[max_score]]*100,"")</f>
        <v/>
      </c>
    </row>
    <row r="76" spans="1:14" x14ac:dyDescent="0.3">
      <c r="A76" t="str">
        <f>_xlfn.CONCAT(Table1[[#This Row],[year]],Table1[[#This Row],[semester]],Table1[[#This Row],[moed]],Table1[[#This Row],[question]],Table1[[#This Row],[section]])</f>
        <v>2004aa6</v>
      </c>
      <c r="B76">
        <v>2004</v>
      </c>
      <c r="C76" t="s">
        <v>7</v>
      </c>
      <c r="D76" t="s">
        <v>7</v>
      </c>
      <c r="E76">
        <v>6</v>
      </c>
      <c r="G76">
        <v>7</v>
      </c>
      <c r="H76" t="s">
        <v>230</v>
      </c>
      <c r="I76" t="s">
        <v>231</v>
      </c>
      <c r="M76" t="str">
        <f>IFERROR(Table1[[#This Row],[avg_score]]/Table1[[#This Row],[max_score]]*100,"")</f>
        <v/>
      </c>
      <c r="N76" t="str">
        <f>IFERROR(Table1[[#This Row],[std_score]]/Table1[[#This Row],[max_score]]*100,"")</f>
        <v/>
      </c>
    </row>
    <row r="77" spans="1:14" x14ac:dyDescent="0.3">
      <c r="A77" t="str">
        <f>_xlfn.CONCAT(Table1[[#This Row],[year]],Table1[[#This Row],[semester]],Table1[[#This Row],[moed]],Table1[[#This Row],[question]],Table1[[#This Row],[section]])</f>
        <v>2004aa7</v>
      </c>
      <c r="B77">
        <v>2004</v>
      </c>
      <c r="C77" t="s">
        <v>7</v>
      </c>
      <c r="D77" t="s">
        <v>7</v>
      </c>
      <c r="E77">
        <v>7</v>
      </c>
      <c r="G77">
        <v>7</v>
      </c>
      <c r="H77" t="s">
        <v>232</v>
      </c>
      <c r="I77" t="s">
        <v>233</v>
      </c>
      <c r="M77" t="str">
        <f>IFERROR(Table1[[#This Row],[avg_score]]/Table1[[#This Row],[max_score]]*100,"")</f>
        <v/>
      </c>
      <c r="N77" t="str">
        <f>IFERROR(Table1[[#This Row],[std_score]]/Table1[[#This Row],[max_score]]*100,"")</f>
        <v/>
      </c>
    </row>
    <row r="78" spans="1:14" x14ac:dyDescent="0.3">
      <c r="A78" t="str">
        <f>_xlfn.CONCAT(Table1[[#This Row],[year]],Table1[[#This Row],[semester]],Table1[[#This Row],[moed]],Table1[[#This Row],[question]],Table1[[#This Row],[section]])</f>
        <v>2004aa8</v>
      </c>
      <c r="B78">
        <v>2004</v>
      </c>
      <c r="C78" t="s">
        <v>7</v>
      </c>
      <c r="D78" t="s">
        <v>7</v>
      </c>
      <c r="E78">
        <v>8</v>
      </c>
      <c r="G78">
        <v>7</v>
      </c>
      <c r="H78" t="s">
        <v>234</v>
      </c>
      <c r="I78" t="s">
        <v>235</v>
      </c>
      <c r="M78" t="str">
        <f>IFERROR(Table1[[#This Row],[avg_score]]/Table1[[#This Row],[max_score]]*100,"")</f>
        <v/>
      </c>
      <c r="N78" t="str">
        <f>IFERROR(Table1[[#This Row],[std_score]]/Table1[[#This Row],[max_score]]*100,"")</f>
        <v/>
      </c>
    </row>
    <row r="79" spans="1:14" x14ac:dyDescent="0.3">
      <c r="A79" t="str">
        <f>_xlfn.CONCAT(Table1[[#This Row],[year]],Table1[[#This Row],[semester]],Table1[[#This Row],[moed]],Table1[[#This Row],[question]],Table1[[#This Row],[section]])</f>
        <v>2004aa9</v>
      </c>
      <c r="B79">
        <v>2004</v>
      </c>
      <c r="C79" t="s">
        <v>7</v>
      </c>
      <c r="D79" t="s">
        <v>7</v>
      </c>
      <c r="E79">
        <v>9</v>
      </c>
      <c r="G79">
        <v>7</v>
      </c>
      <c r="H79" t="s">
        <v>236</v>
      </c>
      <c r="I79" t="s">
        <v>237</v>
      </c>
      <c r="M79" t="str">
        <f>IFERROR(Table1[[#This Row],[avg_score]]/Table1[[#This Row],[max_score]]*100,"")</f>
        <v/>
      </c>
      <c r="N79" t="str">
        <f>IFERROR(Table1[[#This Row],[std_score]]/Table1[[#This Row],[max_score]]*100,"")</f>
        <v/>
      </c>
    </row>
    <row r="80" spans="1:14" x14ac:dyDescent="0.3">
      <c r="A80" t="str">
        <f>_xlfn.CONCAT(Table1[[#This Row],[year]],Table1[[#This Row],[semester]],Table1[[#This Row],[moed]],Table1[[#This Row],[question]],Table1[[#This Row],[section]])</f>
        <v>2004aa10</v>
      </c>
      <c r="B80">
        <v>2004</v>
      </c>
      <c r="C80" t="s">
        <v>7</v>
      </c>
      <c r="D80" t="s">
        <v>7</v>
      </c>
      <c r="E80">
        <v>10</v>
      </c>
      <c r="G80">
        <v>3</v>
      </c>
      <c r="H80" t="s">
        <v>238</v>
      </c>
      <c r="I80" t="s">
        <v>239</v>
      </c>
      <c r="M80" t="str">
        <f>IFERROR(Table1[[#This Row],[avg_score]]/Table1[[#This Row],[max_score]]*100,"")</f>
        <v/>
      </c>
      <c r="N80" t="str">
        <f>IFERROR(Table1[[#This Row],[std_score]]/Table1[[#This Row],[max_score]]*100,"")</f>
        <v/>
      </c>
    </row>
    <row r="81" spans="1:14" x14ac:dyDescent="0.3">
      <c r="A81" t="str">
        <f>_xlfn.CONCAT(Table1[[#This Row],[year]],Table1[[#This Row],[semester]],Table1[[#This Row],[moed]],Table1[[#This Row],[question]],Table1[[#This Row],[section]])</f>
        <v>2004aa11</v>
      </c>
      <c r="B81">
        <v>2004</v>
      </c>
      <c r="C81" t="s">
        <v>7</v>
      </c>
      <c r="D81" t="s">
        <v>7</v>
      </c>
      <c r="E81">
        <v>11</v>
      </c>
      <c r="G81">
        <v>15</v>
      </c>
      <c r="H81" t="s">
        <v>240</v>
      </c>
      <c r="I81" t="s">
        <v>241</v>
      </c>
      <c r="M81" t="str">
        <f>IFERROR(Table1[[#This Row],[avg_score]]/Table1[[#This Row],[max_score]]*100,"")</f>
        <v/>
      </c>
      <c r="N81" t="str">
        <f>IFERROR(Table1[[#This Row],[std_score]]/Table1[[#This Row],[max_score]]*100,"")</f>
        <v/>
      </c>
    </row>
    <row r="82" spans="1:14" x14ac:dyDescent="0.3">
      <c r="A82" t="str">
        <f>_xlfn.CONCAT(Table1[[#This Row],[year]],Table1[[#This Row],[semester]],Table1[[#This Row],[moed]],Table1[[#This Row],[question]],Table1[[#This Row],[section]])</f>
        <v>2004aa12</v>
      </c>
      <c r="B82">
        <v>2004</v>
      </c>
      <c r="C82" t="s">
        <v>7</v>
      </c>
      <c r="D82" t="s">
        <v>7</v>
      </c>
      <c r="E82">
        <v>12</v>
      </c>
      <c r="G82">
        <v>5</v>
      </c>
      <c r="H82" t="s">
        <v>242</v>
      </c>
      <c r="I82" t="s">
        <v>243</v>
      </c>
      <c r="M82" t="str">
        <f>IFERROR(Table1[[#This Row],[avg_score]]/Table1[[#This Row],[max_score]]*100,"")</f>
        <v/>
      </c>
      <c r="N82" t="str">
        <f>IFERROR(Table1[[#This Row],[std_score]]/Table1[[#This Row],[max_score]]*100,"")</f>
        <v/>
      </c>
    </row>
    <row r="83" spans="1:14" x14ac:dyDescent="0.3">
      <c r="A83" t="str">
        <f>_xlfn.CONCAT(Table1[[#This Row],[year]],Table1[[#This Row],[semester]],Table1[[#This Row],[moed]],Table1[[#This Row],[question]],Table1[[#This Row],[section]])</f>
        <v>2004aa13</v>
      </c>
      <c r="B83">
        <v>2004</v>
      </c>
      <c r="C83" t="s">
        <v>7</v>
      </c>
      <c r="D83" t="s">
        <v>7</v>
      </c>
      <c r="E83">
        <v>13</v>
      </c>
      <c r="G83">
        <v>10</v>
      </c>
      <c r="H83" t="s">
        <v>244</v>
      </c>
      <c r="I83" t="s">
        <v>245</v>
      </c>
      <c r="M83" t="str">
        <f>IFERROR(Table1[[#This Row],[avg_score]]/Table1[[#This Row],[max_score]]*100,"")</f>
        <v/>
      </c>
      <c r="N83" t="str">
        <f>IFERROR(Table1[[#This Row],[std_score]]/Table1[[#This Row],[max_score]]*100,"")</f>
        <v/>
      </c>
    </row>
    <row r="84" spans="1:14" x14ac:dyDescent="0.3">
      <c r="A84" t="str">
        <f>_xlfn.CONCAT(Table1[[#This Row],[year]],Table1[[#This Row],[semester]],Table1[[#This Row],[moed]],Table1[[#This Row],[question]],Table1[[#This Row],[section]])</f>
        <v>2004aa14</v>
      </c>
      <c r="B84">
        <v>2004</v>
      </c>
      <c r="C84" t="s">
        <v>7</v>
      </c>
      <c r="D84" t="s">
        <v>7</v>
      </c>
      <c r="E84">
        <v>14</v>
      </c>
      <c r="G84">
        <v>10</v>
      </c>
      <c r="H84" t="s">
        <v>246</v>
      </c>
      <c r="I84" t="s">
        <v>247</v>
      </c>
      <c r="M84" t="str">
        <f>IFERROR(Table1[[#This Row],[avg_score]]/Table1[[#This Row],[max_score]]*100,"")</f>
        <v/>
      </c>
      <c r="N84" t="str">
        <f>IFERROR(Table1[[#This Row],[std_score]]/Table1[[#This Row],[max_score]]*100,"")</f>
        <v/>
      </c>
    </row>
    <row r="85" spans="1:14" x14ac:dyDescent="0.3">
      <c r="A85" t="str">
        <f>_xlfn.CONCAT(Table1[[#This Row],[year]],Table1[[#This Row],[semester]],Table1[[#This Row],[moed]],Table1[[#This Row],[question]],Table1[[#This Row],[section]])</f>
        <v>2004ba,b1</v>
      </c>
      <c r="B85">
        <v>2004</v>
      </c>
      <c r="C85" t="s">
        <v>8</v>
      </c>
      <c r="D85" t="s">
        <v>673</v>
      </c>
      <c r="E85">
        <v>1</v>
      </c>
      <c r="G85">
        <v>8</v>
      </c>
      <c r="H85" t="s">
        <v>248</v>
      </c>
      <c r="I85" t="s">
        <v>249</v>
      </c>
      <c r="M85" t="str">
        <f>IFERROR(Table1[[#This Row],[avg_score]]/Table1[[#This Row],[max_score]]*100,"")</f>
        <v/>
      </c>
      <c r="N85" t="str">
        <f>IFERROR(Table1[[#This Row],[std_score]]/Table1[[#This Row],[max_score]]*100,"")</f>
        <v/>
      </c>
    </row>
    <row r="86" spans="1:14" x14ac:dyDescent="0.3">
      <c r="A86" t="str">
        <f>_xlfn.CONCAT(Table1[[#This Row],[year]],Table1[[#This Row],[semester]],Table1[[#This Row],[moed]],Table1[[#This Row],[question]],Table1[[#This Row],[section]])</f>
        <v>2004ba,b2</v>
      </c>
      <c r="B86">
        <v>2004</v>
      </c>
      <c r="C86" t="s">
        <v>8</v>
      </c>
      <c r="D86" t="s">
        <v>673</v>
      </c>
      <c r="E86">
        <v>2</v>
      </c>
      <c r="G86">
        <v>8</v>
      </c>
      <c r="H86" t="s">
        <v>250</v>
      </c>
      <c r="I86" t="s">
        <v>251</v>
      </c>
      <c r="M86" t="str">
        <f>IFERROR(Table1[[#This Row],[avg_score]]/Table1[[#This Row],[max_score]]*100,"")</f>
        <v/>
      </c>
      <c r="N86" t="str">
        <f>IFERROR(Table1[[#This Row],[std_score]]/Table1[[#This Row],[max_score]]*100,"")</f>
        <v/>
      </c>
    </row>
    <row r="87" spans="1:14" x14ac:dyDescent="0.3">
      <c r="A87" t="str">
        <f>_xlfn.CONCAT(Table1[[#This Row],[year]],Table1[[#This Row],[semester]],Table1[[#This Row],[moed]],Table1[[#This Row],[question]],Table1[[#This Row],[section]])</f>
        <v>2004ba,b3</v>
      </c>
      <c r="B87">
        <v>2004</v>
      </c>
      <c r="C87" t="s">
        <v>8</v>
      </c>
      <c r="D87" t="s">
        <v>673</v>
      </c>
      <c r="E87">
        <v>3</v>
      </c>
      <c r="G87">
        <v>9</v>
      </c>
      <c r="H87" t="s">
        <v>252</v>
      </c>
      <c r="I87" t="s">
        <v>253</v>
      </c>
      <c r="M87" t="str">
        <f>IFERROR(Table1[[#This Row],[avg_score]]/Table1[[#This Row],[max_score]]*100,"")</f>
        <v/>
      </c>
      <c r="N87" t="str">
        <f>IFERROR(Table1[[#This Row],[std_score]]/Table1[[#This Row],[max_score]]*100,"")</f>
        <v/>
      </c>
    </row>
    <row r="88" spans="1:14" x14ac:dyDescent="0.3">
      <c r="A88" t="str">
        <f>_xlfn.CONCAT(Table1[[#This Row],[year]],Table1[[#This Row],[semester]],Table1[[#This Row],[moed]],Table1[[#This Row],[question]],Table1[[#This Row],[section]])</f>
        <v>2004ba,b4</v>
      </c>
      <c r="B88">
        <v>2004</v>
      </c>
      <c r="C88" t="s">
        <v>8</v>
      </c>
      <c r="D88" t="s">
        <v>673</v>
      </c>
      <c r="E88">
        <v>4</v>
      </c>
      <c r="G88">
        <v>8</v>
      </c>
      <c r="H88" t="s">
        <v>254</v>
      </c>
      <c r="I88" t="s">
        <v>255</v>
      </c>
      <c r="M88" t="str">
        <f>IFERROR(Table1[[#This Row],[avg_score]]/Table1[[#This Row],[max_score]]*100,"")</f>
        <v/>
      </c>
      <c r="N88" t="str">
        <f>IFERROR(Table1[[#This Row],[std_score]]/Table1[[#This Row],[max_score]]*100,"")</f>
        <v/>
      </c>
    </row>
    <row r="89" spans="1:14" x14ac:dyDescent="0.3">
      <c r="A89" t="str">
        <f>_xlfn.CONCAT(Table1[[#This Row],[year]],Table1[[#This Row],[semester]],Table1[[#This Row],[moed]],Table1[[#This Row],[question]],Table1[[#This Row],[section]])</f>
        <v>2004ba,b5</v>
      </c>
      <c r="B89">
        <v>2004</v>
      </c>
      <c r="C89" t="s">
        <v>8</v>
      </c>
      <c r="D89" t="s">
        <v>673</v>
      </c>
      <c r="E89">
        <v>5</v>
      </c>
      <c r="G89">
        <v>9</v>
      </c>
      <c r="H89" t="s">
        <v>256</v>
      </c>
      <c r="I89" t="s">
        <v>257</v>
      </c>
      <c r="M89" t="str">
        <f>IFERROR(Table1[[#This Row],[avg_score]]/Table1[[#This Row],[max_score]]*100,"")</f>
        <v/>
      </c>
      <c r="N89" t="str">
        <f>IFERROR(Table1[[#This Row],[std_score]]/Table1[[#This Row],[max_score]]*100,"")</f>
        <v/>
      </c>
    </row>
    <row r="90" spans="1:14" x14ac:dyDescent="0.3">
      <c r="A90" t="str">
        <f>_xlfn.CONCAT(Table1[[#This Row],[year]],Table1[[#This Row],[semester]],Table1[[#This Row],[moed]],Table1[[#This Row],[question]],Table1[[#This Row],[section]])</f>
        <v>2004ba,b6</v>
      </c>
      <c r="B90">
        <v>2004</v>
      </c>
      <c r="C90" t="s">
        <v>8</v>
      </c>
      <c r="D90" t="s">
        <v>673</v>
      </c>
      <c r="E90">
        <v>6</v>
      </c>
      <c r="G90">
        <v>8</v>
      </c>
      <c r="H90" t="s">
        <v>258</v>
      </c>
      <c r="I90" t="s">
        <v>259</v>
      </c>
      <c r="M90" t="str">
        <f>IFERROR(Table1[[#This Row],[avg_score]]/Table1[[#This Row],[max_score]]*100,"")</f>
        <v/>
      </c>
      <c r="N90" t="str">
        <f>IFERROR(Table1[[#This Row],[std_score]]/Table1[[#This Row],[max_score]]*100,"")</f>
        <v/>
      </c>
    </row>
    <row r="91" spans="1:14" x14ac:dyDescent="0.3">
      <c r="A91" t="str">
        <f>_xlfn.CONCAT(Table1[[#This Row],[year]],Table1[[#This Row],[semester]],Table1[[#This Row],[moed]],Table1[[#This Row],[question]],Table1[[#This Row],[section]])</f>
        <v>2004ba,b7</v>
      </c>
      <c r="B91">
        <v>2004</v>
      </c>
      <c r="C91" t="s">
        <v>8</v>
      </c>
      <c r="D91" t="s">
        <v>673</v>
      </c>
      <c r="E91">
        <v>7</v>
      </c>
      <c r="G91">
        <v>9</v>
      </c>
      <c r="H91" t="s">
        <v>260</v>
      </c>
      <c r="I91" t="s">
        <v>261</v>
      </c>
      <c r="M91" t="str">
        <f>IFERROR(Table1[[#This Row],[avg_score]]/Table1[[#This Row],[max_score]]*100,"")</f>
        <v/>
      </c>
      <c r="N91" t="str">
        <f>IFERROR(Table1[[#This Row],[std_score]]/Table1[[#This Row],[max_score]]*100,"")</f>
        <v/>
      </c>
    </row>
    <row r="92" spans="1:14" x14ac:dyDescent="0.3">
      <c r="A92" t="str">
        <f>_xlfn.CONCAT(Table1[[#This Row],[year]],Table1[[#This Row],[semester]],Table1[[#This Row],[moed]],Table1[[#This Row],[question]],Table1[[#This Row],[section]])</f>
        <v>2004ba,b8</v>
      </c>
      <c r="B92">
        <v>2004</v>
      </c>
      <c r="C92" t="s">
        <v>8</v>
      </c>
      <c r="D92" t="s">
        <v>673</v>
      </c>
      <c r="E92">
        <v>8</v>
      </c>
      <c r="G92">
        <v>8</v>
      </c>
      <c r="H92" t="s">
        <v>262</v>
      </c>
      <c r="I92" t="s">
        <v>263</v>
      </c>
      <c r="M92" t="str">
        <f>IFERROR(Table1[[#This Row],[avg_score]]/Table1[[#This Row],[max_score]]*100,"")</f>
        <v/>
      </c>
      <c r="N92" t="str">
        <f>IFERROR(Table1[[#This Row],[std_score]]/Table1[[#This Row],[max_score]]*100,"")</f>
        <v/>
      </c>
    </row>
    <row r="93" spans="1:14" x14ac:dyDescent="0.3">
      <c r="A93" t="str">
        <f>_xlfn.CONCAT(Table1[[#This Row],[year]],Table1[[#This Row],[semester]],Table1[[#This Row],[moed]],Table1[[#This Row],[question]],Table1[[#This Row],[section]])</f>
        <v>2004ba,b9.a</v>
      </c>
      <c r="B93">
        <v>2004</v>
      </c>
      <c r="C93" t="s">
        <v>8</v>
      </c>
      <c r="D93" t="s">
        <v>673</v>
      </c>
      <c r="E93" t="s">
        <v>148</v>
      </c>
      <c r="G93">
        <v>7</v>
      </c>
      <c r="H93" t="s">
        <v>264</v>
      </c>
      <c r="I93" t="s">
        <v>265</v>
      </c>
      <c r="M93" t="str">
        <f>IFERROR(Table1[[#This Row],[avg_score]]/Table1[[#This Row],[max_score]]*100,"")</f>
        <v/>
      </c>
      <c r="N93" t="str">
        <f>IFERROR(Table1[[#This Row],[std_score]]/Table1[[#This Row],[max_score]]*100,"")</f>
        <v/>
      </c>
    </row>
    <row r="94" spans="1:14" x14ac:dyDescent="0.3">
      <c r="A94" t="str">
        <f>_xlfn.CONCAT(Table1[[#This Row],[year]],Table1[[#This Row],[semester]],Table1[[#This Row],[moed]],Table1[[#This Row],[question]],Table1[[#This Row],[section]])</f>
        <v>2004ba,b9.b</v>
      </c>
      <c r="B94">
        <v>2004</v>
      </c>
      <c r="C94" t="s">
        <v>8</v>
      </c>
      <c r="D94" t="s">
        <v>673</v>
      </c>
      <c r="E94" t="s">
        <v>149</v>
      </c>
      <c r="G94">
        <v>10</v>
      </c>
      <c r="H94" t="s">
        <v>266</v>
      </c>
      <c r="I94" t="s">
        <v>267</v>
      </c>
      <c r="M94" t="str">
        <f>IFERROR(Table1[[#This Row],[avg_score]]/Table1[[#This Row],[max_score]]*100,"")</f>
        <v/>
      </c>
      <c r="N94" t="str">
        <f>IFERROR(Table1[[#This Row],[std_score]]/Table1[[#This Row],[max_score]]*100,"")</f>
        <v/>
      </c>
    </row>
    <row r="95" spans="1:14" x14ac:dyDescent="0.3">
      <c r="A95" t="str">
        <f>_xlfn.CONCAT(Table1[[#This Row],[year]],Table1[[#This Row],[semester]],Table1[[#This Row],[moed]],Table1[[#This Row],[question]],Table1[[#This Row],[section]])</f>
        <v>2004ba,b9.c</v>
      </c>
      <c r="B95">
        <v>2004</v>
      </c>
      <c r="C95" t="s">
        <v>8</v>
      </c>
      <c r="D95" t="s">
        <v>673</v>
      </c>
      <c r="E95" t="s">
        <v>150</v>
      </c>
      <c r="G95">
        <v>9</v>
      </c>
      <c r="H95" t="s">
        <v>268</v>
      </c>
      <c r="I95" t="s">
        <v>269</v>
      </c>
      <c r="M95" t="str">
        <f>IFERROR(Table1[[#This Row],[avg_score]]/Table1[[#This Row],[max_score]]*100,"")</f>
        <v/>
      </c>
      <c r="N95" t="str">
        <f>IFERROR(Table1[[#This Row],[std_score]]/Table1[[#This Row],[max_score]]*100,"")</f>
        <v/>
      </c>
    </row>
    <row r="96" spans="1:14" x14ac:dyDescent="0.3">
      <c r="A96" t="str">
        <f>_xlfn.CONCAT(Table1[[#This Row],[year]],Table1[[#This Row],[semester]],Table1[[#This Row],[moed]],Table1[[#This Row],[question]],Table1[[#This Row],[section]])</f>
        <v>2004ba,b9.d</v>
      </c>
      <c r="B96">
        <v>2004</v>
      </c>
      <c r="C96" t="s">
        <v>8</v>
      </c>
      <c r="D96" t="s">
        <v>673</v>
      </c>
      <c r="E96" t="s">
        <v>151</v>
      </c>
      <c r="G96">
        <v>7</v>
      </c>
      <c r="H96" t="s">
        <v>270</v>
      </c>
      <c r="I96" t="s">
        <v>271</v>
      </c>
      <c r="M96" t="str">
        <f>IFERROR(Table1[[#This Row],[avg_score]]/Table1[[#This Row],[max_score]]*100,"")</f>
        <v/>
      </c>
      <c r="N96" t="str">
        <f>IFERROR(Table1[[#This Row],[std_score]]/Table1[[#This Row],[max_score]]*100,"")</f>
        <v/>
      </c>
    </row>
    <row r="97" spans="1:14" x14ac:dyDescent="0.3">
      <c r="A97" t="str">
        <f>_xlfn.CONCAT(Table1[[#This Row],[year]],Table1[[#This Row],[semester]],Table1[[#This Row],[moed]],Table1[[#This Row],[question]],Table1[[#This Row],[section]])</f>
        <v>2005aa1</v>
      </c>
      <c r="B97">
        <v>2005</v>
      </c>
      <c r="C97" t="s">
        <v>7</v>
      </c>
      <c r="D97" t="s">
        <v>7</v>
      </c>
      <c r="E97">
        <v>1</v>
      </c>
      <c r="G97">
        <v>7</v>
      </c>
      <c r="H97" t="s">
        <v>272</v>
      </c>
      <c r="I97" t="s">
        <v>273</v>
      </c>
      <c r="M97" t="str">
        <f>IFERROR(Table1[[#This Row],[avg_score]]/Table1[[#This Row],[max_score]]*100,"")</f>
        <v/>
      </c>
      <c r="N97" t="str">
        <f>IFERROR(Table1[[#This Row],[std_score]]/Table1[[#This Row],[max_score]]*100,"")</f>
        <v/>
      </c>
    </row>
    <row r="98" spans="1:14" x14ac:dyDescent="0.3">
      <c r="A98" t="str">
        <f>_xlfn.CONCAT(Table1[[#This Row],[year]],Table1[[#This Row],[semester]],Table1[[#This Row],[moed]],Table1[[#This Row],[question]],Table1[[#This Row],[section]])</f>
        <v>2005aa2</v>
      </c>
      <c r="B98">
        <v>2005</v>
      </c>
      <c r="C98" t="s">
        <v>7</v>
      </c>
      <c r="D98" t="s">
        <v>7</v>
      </c>
      <c r="E98">
        <v>2</v>
      </c>
      <c r="G98">
        <v>8</v>
      </c>
      <c r="H98" t="s">
        <v>274</v>
      </c>
      <c r="I98" t="s">
        <v>275</v>
      </c>
      <c r="M98" t="str">
        <f>IFERROR(Table1[[#This Row],[avg_score]]/Table1[[#This Row],[max_score]]*100,"")</f>
        <v/>
      </c>
      <c r="N98" t="str">
        <f>IFERROR(Table1[[#This Row],[std_score]]/Table1[[#This Row],[max_score]]*100,"")</f>
        <v/>
      </c>
    </row>
    <row r="99" spans="1:14" x14ac:dyDescent="0.3">
      <c r="A99" t="str">
        <f>_xlfn.CONCAT(Table1[[#This Row],[year]],Table1[[#This Row],[semester]],Table1[[#This Row],[moed]],Table1[[#This Row],[question]],Table1[[#This Row],[section]])</f>
        <v>2005aa3</v>
      </c>
      <c r="B99">
        <v>2005</v>
      </c>
      <c r="C99" t="s">
        <v>7</v>
      </c>
      <c r="D99" t="s">
        <v>7</v>
      </c>
      <c r="E99">
        <v>3</v>
      </c>
      <c r="G99">
        <v>9</v>
      </c>
      <c r="H99" t="s">
        <v>276</v>
      </c>
      <c r="I99" t="s">
        <v>277</v>
      </c>
      <c r="M99" t="str">
        <f>IFERROR(Table1[[#This Row],[avg_score]]/Table1[[#This Row],[max_score]]*100,"")</f>
        <v/>
      </c>
      <c r="N99" t="str">
        <f>IFERROR(Table1[[#This Row],[std_score]]/Table1[[#This Row],[max_score]]*100,"")</f>
        <v/>
      </c>
    </row>
    <row r="100" spans="1:14" x14ac:dyDescent="0.3">
      <c r="A100" t="str">
        <f>_xlfn.CONCAT(Table1[[#This Row],[year]],Table1[[#This Row],[semester]],Table1[[#This Row],[moed]],Table1[[#This Row],[question]],Table1[[#This Row],[section]])</f>
        <v>2005aa4</v>
      </c>
      <c r="B100">
        <v>2005</v>
      </c>
      <c r="C100" t="s">
        <v>7</v>
      </c>
      <c r="D100" t="s">
        <v>7</v>
      </c>
      <c r="E100">
        <v>4</v>
      </c>
      <c r="G100">
        <v>9</v>
      </c>
      <c r="H100" t="s">
        <v>278</v>
      </c>
      <c r="I100" t="s">
        <v>279</v>
      </c>
      <c r="M100" t="str">
        <f>IFERROR(Table1[[#This Row],[avg_score]]/Table1[[#This Row],[max_score]]*100,"")</f>
        <v/>
      </c>
      <c r="N100" t="str">
        <f>IFERROR(Table1[[#This Row],[std_score]]/Table1[[#This Row],[max_score]]*100,"")</f>
        <v/>
      </c>
    </row>
    <row r="101" spans="1:14" x14ac:dyDescent="0.3">
      <c r="A101" t="str">
        <f>_xlfn.CONCAT(Table1[[#This Row],[year]],Table1[[#This Row],[semester]],Table1[[#This Row],[moed]],Table1[[#This Row],[question]],Table1[[#This Row],[section]])</f>
        <v>2005aa5</v>
      </c>
      <c r="B101">
        <v>2005</v>
      </c>
      <c r="C101" t="s">
        <v>7</v>
      </c>
      <c r="D101" t="s">
        <v>7</v>
      </c>
      <c r="E101">
        <v>5</v>
      </c>
      <c r="G101">
        <v>8</v>
      </c>
      <c r="H101" t="s">
        <v>280</v>
      </c>
      <c r="I101" t="s">
        <v>281</v>
      </c>
      <c r="M101" t="str">
        <f>IFERROR(Table1[[#This Row],[avg_score]]/Table1[[#This Row],[max_score]]*100,"")</f>
        <v/>
      </c>
      <c r="N101" t="str">
        <f>IFERROR(Table1[[#This Row],[std_score]]/Table1[[#This Row],[max_score]]*100,"")</f>
        <v/>
      </c>
    </row>
    <row r="102" spans="1:14" x14ac:dyDescent="0.3">
      <c r="A102" t="str">
        <f>_xlfn.CONCAT(Table1[[#This Row],[year]],Table1[[#This Row],[semester]],Table1[[#This Row],[moed]],Table1[[#This Row],[question]],Table1[[#This Row],[section]])</f>
        <v>2005aa6</v>
      </c>
      <c r="B102">
        <v>2005</v>
      </c>
      <c r="C102" t="s">
        <v>7</v>
      </c>
      <c r="D102" t="s">
        <v>7</v>
      </c>
      <c r="E102">
        <v>6</v>
      </c>
      <c r="G102">
        <v>8</v>
      </c>
      <c r="H102" t="s">
        <v>282</v>
      </c>
      <c r="I102" t="s">
        <v>283</v>
      </c>
      <c r="M102" t="str">
        <f>IFERROR(Table1[[#This Row],[avg_score]]/Table1[[#This Row],[max_score]]*100,"")</f>
        <v/>
      </c>
      <c r="N102" t="str">
        <f>IFERROR(Table1[[#This Row],[std_score]]/Table1[[#This Row],[max_score]]*100,"")</f>
        <v/>
      </c>
    </row>
    <row r="103" spans="1:14" x14ac:dyDescent="0.3">
      <c r="A103" t="str">
        <f>_xlfn.CONCAT(Table1[[#This Row],[year]],Table1[[#This Row],[semester]],Table1[[#This Row],[moed]],Table1[[#This Row],[question]],Table1[[#This Row],[section]])</f>
        <v>2005aa7</v>
      </c>
      <c r="B103">
        <v>2005</v>
      </c>
      <c r="C103" t="s">
        <v>7</v>
      </c>
      <c r="D103" t="s">
        <v>7</v>
      </c>
      <c r="E103">
        <v>7</v>
      </c>
      <c r="G103">
        <v>9</v>
      </c>
      <c r="H103" t="s">
        <v>284</v>
      </c>
      <c r="I103" t="s">
        <v>285</v>
      </c>
      <c r="M103" t="str">
        <f>IFERROR(Table1[[#This Row],[avg_score]]/Table1[[#This Row],[max_score]]*100,"")</f>
        <v/>
      </c>
      <c r="N103" t="str">
        <f>IFERROR(Table1[[#This Row],[std_score]]/Table1[[#This Row],[max_score]]*100,"")</f>
        <v/>
      </c>
    </row>
    <row r="104" spans="1:14" x14ac:dyDescent="0.3">
      <c r="A104" t="str">
        <f>_xlfn.CONCAT(Table1[[#This Row],[year]],Table1[[#This Row],[semester]],Table1[[#This Row],[moed]],Table1[[#This Row],[question]],Table1[[#This Row],[section]])</f>
        <v>2005aa8.I</v>
      </c>
      <c r="B104">
        <v>2005</v>
      </c>
      <c r="C104" t="s">
        <v>7</v>
      </c>
      <c r="D104" t="s">
        <v>7</v>
      </c>
      <c r="E104" t="s">
        <v>152</v>
      </c>
      <c r="G104">
        <v>15</v>
      </c>
      <c r="H104" t="s">
        <v>286</v>
      </c>
      <c r="I104" t="s">
        <v>287</v>
      </c>
      <c r="M104" t="str">
        <f>IFERROR(Table1[[#This Row],[avg_score]]/Table1[[#This Row],[max_score]]*100,"")</f>
        <v/>
      </c>
      <c r="N104" t="str">
        <f>IFERROR(Table1[[#This Row],[std_score]]/Table1[[#This Row],[max_score]]*100,"")</f>
        <v/>
      </c>
    </row>
    <row r="105" spans="1:14" x14ac:dyDescent="0.3">
      <c r="A105" t="str">
        <f>_xlfn.CONCAT(Table1[[#This Row],[year]],Table1[[#This Row],[semester]],Table1[[#This Row],[moed]],Table1[[#This Row],[question]],Table1[[#This Row],[section]])</f>
        <v>2005aa8.II.a</v>
      </c>
      <c r="B105">
        <v>2005</v>
      </c>
      <c r="C105" t="s">
        <v>7</v>
      </c>
      <c r="D105" t="s">
        <v>7</v>
      </c>
      <c r="E105" t="s">
        <v>153</v>
      </c>
      <c r="G105">
        <v>5</v>
      </c>
      <c r="H105" t="s">
        <v>288</v>
      </c>
      <c r="I105" t="s">
        <v>289</v>
      </c>
      <c r="M105" t="str">
        <f>IFERROR(Table1[[#This Row],[avg_score]]/Table1[[#This Row],[max_score]]*100,"")</f>
        <v/>
      </c>
      <c r="N105" t="str">
        <f>IFERROR(Table1[[#This Row],[std_score]]/Table1[[#This Row],[max_score]]*100,"")</f>
        <v/>
      </c>
    </row>
    <row r="106" spans="1:14" x14ac:dyDescent="0.3">
      <c r="A106" t="str">
        <f>_xlfn.CONCAT(Table1[[#This Row],[year]],Table1[[#This Row],[semester]],Table1[[#This Row],[moed]],Table1[[#This Row],[question]],Table1[[#This Row],[section]])</f>
        <v>2005aa8.II.b</v>
      </c>
      <c r="B106">
        <v>2005</v>
      </c>
      <c r="C106" t="s">
        <v>7</v>
      </c>
      <c r="D106" t="s">
        <v>7</v>
      </c>
      <c r="E106" t="s">
        <v>154</v>
      </c>
      <c r="G106">
        <v>4</v>
      </c>
      <c r="H106" t="s">
        <v>290</v>
      </c>
      <c r="I106" t="s">
        <v>291</v>
      </c>
      <c r="M106" t="str">
        <f>IFERROR(Table1[[#This Row],[avg_score]]/Table1[[#This Row],[max_score]]*100,"")</f>
        <v/>
      </c>
      <c r="N106" t="str">
        <f>IFERROR(Table1[[#This Row],[std_score]]/Table1[[#This Row],[max_score]]*100,"")</f>
        <v/>
      </c>
    </row>
    <row r="107" spans="1:14" x14ac:dyDescent="0.3">
      <c r="A107" t="str">
        <f>_xlfn.CONCAT(Table1[[#This Row],[year]],Table1[[#This Row],[semester]],Table1[[#This Row],[moed]],Table1[[#This Row],[question]],Table1[[#This Row],[section]])</f>
        <v>2005aa8.II.c</v>
      </c>
      <c r="B107">
        <v>2005</v>
      </c>
      <c r="C107" t="s">
        <v>7</v>
      </c>
      <c r="D107" t="s">
        <v>7</v>
      </c>
      <c r="E107" t="s">
        <v>155</v>
      </c>
      <c r="G107">
        <v>6</v>
      </c>
      <c r="H107" t="s">
        <v>292</v>
      </c>
      <c r="I107" t="s">
        <v>293</v>
      </c>
      <c r="M107" t="str">
        <f>IFERROR(Table1[[#This Row],[avg_score]]/Table1[[#This Row],[max_score]]*100,"")</f>
        <v/>
      </c>
      <c r="N107" t="str">
        <f>IFERROR(Table1[[#This Row],[std_score]]/Table1[[#This Row],[max_score]]*100,"")</f>
        <v/>
      </c>
    </row>
    <row r="108" spans="1:14" x14ac:dyDescent="0.3">
      <c r="A108" t="str">
        <f>_xlfn.CONCAT(Table1[[#This Row],[year]],Table1[[#This Row],[semester]],Table1[[#This Row],[moed]],Table1[[#This Row],[question]],Table1[[#This Row],[section]])</f>
        <v>2005aa9</v>
      </c>
      <c r="B108">
        <v>2005</v>
      </c>
      <c r="C108" t="s">
        <v>7</v>
      </c>
      <c r="D108" t="s">
        <v>7</v>
      </c>
      <c r="E108">
        <v>9</v>
      </c>
      <c r="G108">
        <v>12</v>
      </c>
      <c r="H108" t="s">
        <v>294</v>
      </c>
      <c r="I108" t="s">
        <v>295</v>
      </c>
      <c r="M108" t="str">
        <f>IFERROR(Table1[[#This Row],[avg_score]]/Table1[[#This Row],[max_score]]*100,"")</f>
        <v/>
      </c>
      <c r="N108" t="str">
        <f>IFERROR(Table1[[#This Row],[std_score]]/Table1[[#This Row],[max_score]]*100,"")</f>
        <v/>
      </c>
    </row>
    <row r="109" spans="1:14" x14ac:dyDescent="0.3">
      <c r="A109" t="str">
        <f>_xlfn.CONCAT(Table1[[#This Row],[year]],Table1[[#This Row],[semester]],Table1[[#This Row],[moed]],Table1[[#This Row],[question]],Table1[[#This Row],[section]])</f>
        <v>2006aa1</v>
      </c>
      <c r="B109">
        <v>2006</v>
      </c>
      <c r="C109" t="s">
        <v>7</v>
      </c>
      <c r="D109" t="s">
        <v>7</v>
      </c>
      <c r="E109">
        <v>1</v>
      </c>
      <c r="G109">
        <v>8</v>
      </c>
      <c r="H109" t="s">
        <v>296</v>
      </c>
      <c r="I109" t="s">
        <v>297</v>
      </c>
      <c r="M109" t="str">
        <f>IFERROR(Table1[[#This Row],[avg_score]]/Table1[[#This Row],[max_score]]*100,"")</f>
        <v/>
      </c>
      <c r="N109" t="str">
        <f>IFERROR(Table1[[#This Row],[std_score]]/Table1[[#This Row],[max_score]]*100,"")</f>
        <v/>
      </c>
    </row>
    <row r="110" spans="1:14" x14ac:dyDescent="0.3">
      <c r="A110" t="str">
        <f>_xlfn.CONCAT(Table1[[#This Row],[year]],Table1[[#This Row],[semester]],Table1[[#This Row],[moed]],Table1[[#This Row],[question]],Table1[[#This Row],[section]])</f>
        <v>2006aa2</v>
      </c>
      <c r="B110">
        <v>2006</v>
      </c>
      <c r="C110" t="s">
        <v>7</v>
      </c>
      <c r="D110" t="s">
        <v>7</v>
      </c>
      <c r="E110">
        <v>2</v>
      </c>
      <c r="G110">
        <v>8</v>
      </c>
      <c r="H110" t="s">
        <v>298</v>
      </c>
      <c r="I110" t="s">
        <v>299</v>
      </c>
      <c r="M110" t="str">
        <f>IFERROR(Table1[[#This Row],[avg_score]]/Table1[[#This Row],[max_score]]*100,"")</f>
        <v/>
      </c>
      <c r="N110" t="str">
        <f>IFERROR(Table1[[#This Row],[std_score]]/Table1[[#This Row],[max_score]]*100,"")</f>
        <v/>
      </c>
    </row>
    <row r="111" spans="1:14" x14ac:dyDescent="0.3">
      <c r="A111" t="str">
        <f>_xlfn.CONCAT(Table1[[#This Row],[year]],Table1[[#This Row],[semester]],Table1[[#This Row],[moed]],Table1[[#This Row],[question]],Table1[[#This Row],[section]])</f>
        <v>2006aa3</v>
      </c>
      <c r="B111">
        <v>2006</v>
      </c>
      <c r="C111" t="s">
        <v>7</v>
      </c>
      <c r="D111" t="s">
        <v>7</v>
      </c>
      <c r="E111">
        <v>3</v>
      </c>
      <c r="G111">
        <v>8</v>
      </c>
      <c r="H111" t="s">
        <v>300</v>
      </c>
      <c r="I111" t="s">
        <v>301</v>
      </c>
      <c r="M111" t="str">
        <f>IFERROR(Table1[[#This Row],[avg_score]]/Table1[[#This Row],[max_score]]*100,"")</f>
        <v/>
      </c>
      <c r="N111" t="str">
        <f>IFERROR(Table1[[#This Row],[std_score]]/Table1[[#This Row],[max_score]]*100,"")</f>
        <v/>
      </c>
    </row>
    <row r="112" spans="1:14" x14ac:dyDescent="0.3">
      <c r="A112" t="str">
        <f>_xlfn.CONCAT(Table1[[#This Row],[year]],Table1[[#This Row],[semester]],Table1[[#This Row],[moed]],Table1[[#This Row],[question]],Table1[[#This Row],[section]])</f>
        <v>2006aa5</v>
      </c>
      <c r="B112">
        <v>2006</v>
      </c>
      <c r="C112" t="s">
        <v>7</v>
      </c>
      <c r="D112" t="s">
        <v>7</v>
      </c>
      <c r="E112">
        <v>5</v>
      </c>
      <c r="G112">
        <v>8</v>
      </c>
      <c r="H112" t="s">
        <v>302</v>
      </c>
      <c r="I112" t="s">
        <v>303</v>
      </c>
      <c r="M112" t="str">
        <f>IFERROR(Table1[[#This Row],[avg_score]]/Table1[[#This Row],[max_score]]*100,"")</f>
        <v/>
      </c>
      <c r="N112" t="str">
        <f>IFERROR(Table1[[#This Row],[std_score]]/Table1[[#This Row],[max_score]]*100,"")</f>
        <v/>
      </c>
    </row>
    <row r="113" spans="1:14" x14ac:dyDescent="0.3">
      <c r="A113" t="str">
        <f>_xlfn.CONCAT(Table1[[#This Row],[year]],Table1[[#This Row],[semester]],Table1[[#This Row],[moed]],Table1[[#This Row],[question]],Table1[[#This Row],[section]])</f>
        <v>2006aa6</v>
      </c>
      <c r="B113">
        <v>2006</v>
      </c>
      <c r="C113" t="s">
        <v>7</v>
      </c>
      <c r="D113" t="s">
        <v>7</v>
      </c>
      <c r="E113">
        <v>6</v>
      </c>
      <c r="G113">
        <v>8</v>
      </c>
      <c r="H113" t="s">
        <v>304</v>
      </c>
      <c r="I113" t="s">
        <v>305</v>
      </c>
      <c r="M113" t="str">
        <f>IFERROR(Table1[[#This Row],[avg_score]]/Table1[[#This Row],[max_score]]*100,"")</f>
        <v/>
      </c>
      <c r="N113" t="str">
        <f>IFERROR(Table1[[#This Row],[std_score]]/Table1[[#This Row],[max_score]]*100,"")</f>
        <v/>
      </c>
    </row>
    <row r="114" spans="1:14" x14ac:dyDescent="0.3">
      <c r="A114" t="str">
        <f>_xlfn.CONCAT(Table1[[#This Row],[year]],Table1[[#This Row],[semester]],Table1[[#This Row],[moed]],Table1[[#This Row],[question]],Table1[[#This Row],[section]])</f>
        <v>2006aa7</v>
      </c>
      <c r="B114">
        <v>2006</v>
      </c>
      <c r="C114" t="s">
        <v>7</v>
      </c>
      <c r="D114" t="s">
        <v>7</v>
      </c>
      <c r="E114">
        <v>7</v>
      </c>
      <c r="G114">
        <v>8</v>
      </c>
      <c r="H114" t="s">
        <v>306</v>
      </c>
      <c r="I114" t="s">
        <v>307</v>
      </c>
      <c r="M114" t="str">
        <f>IFERROR(Table1[[#This Row],[avg_score]]/Table1[[#This Row],[max_score]]*100,"")</f>
        <v/>
      </c>
      <c r="N114" t="str">
        <f>IFERROR(Table1[[#This Row],[std_score]]/Table1[[#This Row],[max_score]]*100,"")</f>
        <v/>
      </c>
    </row>
    <row r="115" spans="1:14" x14ac:dyDescent="0.3">
      <c r="A115" t="str">
        <f>_xlfn.CONCAT(Table1[[#This Row],[year]],Table1[[#This Row],[semester]],Table1[[#This Row],[moed]],Table1[[#This Row],[question]],Table1[[#This Row],[section]])</f>
        <v>2006aa8</v>
      </c>
      <c r="B115">
        <v>2006</v>
      </c>
      <c r="C115" t="s">
        <v>7</v>
      </c>
      <c r="D115" t="s">
        <v>7</v>
      </c>
      <c r="E115">
        <v>8</v>
      </c>
      <c r="G115">
        <v>8</v>
      </c>
      <c r="H115" t="s">
        <v>308</v>
      </c>
      <c r="I115" t="s">
        <v>309</v>
      </c>
      <c r="M115" t="str">
        <f>IFERROR(Table1[[#This Row],[avg_score]]/Table1[[#This Row],[max_score]]*100,"")</f>
        <v/>
      </c>
      <c r="N115" t="str">
        <f>IFERROR(Table1[[#This Row],[std_score]]/Table1[[#This Row],[max_score]]*100,"")</f>
        <v/>
      </c>
    </row>
    <row r="116" spans="1:14" x14ac:dyDescent="0.3">
      <c r="A116" t="str">
        <f>_xlfn.CONCAT(Table1[[#This Row],[year]],Table1[[#This Row],[semester]],Table1[[#This Row],[moed]],Table1[[#This Row],[question]],Table1[[#This Row],[section]])</f>
        <v>2006aa9</v>
      </c>
      <c r="B116">
        <v>2006</v>
      </c>
      <c r="C116" t="s">
        <v>7</v>
      </c>
      <c r="D116" t="s">
        <v>7</v>
      </c>
      <c r="E116">
        <v>9</v>
      </c>
      <c r="G116">
        <v>14</v>
      </c>
      <c r="H116" t="s">
        <v>310</v>
      </c>
      <c r="I116" t="s">
        <v>311</v>
      </c>
      <c r="M116" t="str">
        <f>IFERROR(Table1[[#This Row],[avg_score]]/Table1[[#This Row],[max_score]]*100,"")</f>
        <v/>
      </c>
      <c r="N116" t="str">
        <f>IFERROR(Table1[[#This Row],[std_score]]/Table1[[#This Row],[max_score]]*100,"")</f>
        <v/>
      </c>
    </row>
    <row r="117" spans="1:14" x14ac:dyDescent="0.3">
      <c r="A117" t="str">
        <f>_xlfn.CONCAT(Table1[[#This Row],[year]],Table1[[#This Row],[semester]],Table1[[#This Row],[moed]],Table1[[#This Row],[question]],Table1[[#This Row],[section]])</f>
        <v>2006aa10.a</v>
      </c>
      <c r="B117">
        <v>2006</v>
      </c>
      <c r="C117" t="s">
        <v>7</v>
      </c>
      <c r="D117" t="s">
        <v>7</v>
      </c>
      <c r="E117" t="s">
        <v>146</v>
      </c>
      <c r="G117">
        <v>13</v>
      </c>
      <c r="H117" t="s">
        <v>312</v>
      </c>
      <c r="I117" t="s">
        <v>313</v>
      </c>
      <c r="M117" t="str">
        <f>IFERROR(Table1[[#This Row],[avg_score]]/Table1[[#This Row],[max_score]]*100,"")</f>
        <v/>
      </c>
      <c r="N117" t="str">
        <f>IFERROR(Table1[[#This Row],[std_score]]/Table1[[#This Row],[max_score]]*100,"")</f>
        <v/>
      </c>
    </row>
    <row r="118" spans="1:14" x14ac:dyDescent="0.3">
      <c r="A118" t="str">
        <f>_xlfn.CONCAT(Table1[[#This Row],[year]],Table1[[#This Row],[semester]],Table1[[#This Row],[moed]],Table1[[#This Row],[question]],Table1[[#This Row],[section]])</f>
        <v>2006aa10.b</v>
      </c>
      <c r="B118">
        <v>2006</v>
      </c>
      <c r="C118" t="s">
        <v>7</v>
      </c>
      <c r="D118" t="s">
        <v>7</v>
      </c>
      <c r="E118" t="s">
        <v>147</v>
      </c>
      <c r="G118">
        <v>9</v>
      </c>
      <c r="H118" t="s">
        <v>314</v>
      </c>
      <c r="I118" t="s">
        <v>315</v>
      </c>
      <c r="M118" t="str">
        <f>IFERROR(Table1[[#This Row],[avg_score]]/Table1[[#This Row],[max_score]]*100,"")</f>
        <v/>
      </c>
      <c r="N118" t="str">
        <f>IFERROR(Table1[[#This Row],[std_score]]/Table1[[#This Row],[max_score]]*100,"")</f>
        <v/>
      </c>
    </row>
    <row r="119" spans="1:14" x14ac:dyDescent="0.3">
      <c r="A119" t="str">
        <f>_xlfn.CONCAT(Table1[[#This Row],[year]],Table1[[#This Row],[semester]],Table1[[#This Row],[moed]],Table1[[#This Row],[question]],Table1[[#This Row],[section]])</f>
        <v>2006bb1</v>
      </c>
      <c r="B119">
        <v>2006</v>
      </c>
      <c r="C119" t="s">
        <v>8</v>
      </c>
      <c r="D119" t="s">
        <v>8</v>
      </c>
      <c r="E119">
        <v>1</v>
      </c>
      <c r="G119">
        <v>9</v>
      </c>
      <c r="H119" t="s">
        <v>316</v>
      </c>
      <c r="I119" t="s">
        <v>317</v>
      </c>
      <c r="M119" t="str">
        <f>IFERROR(Table1[[#This Row],[avg_score]]/Table1[[#This Row],[max_score]]*100,"")</f>
        <v/>
      </c>
      <c r="N119" t="str">
        <f>IFERROR(Table1[[#This Row],[std_score]]/Table1[[#This Row],[max_score]]*100,"")</f>
        <v/>
      </c>
    </row>
    <row r="120" spans="1:14" x14ac:dyDescent="0.3">
      <c r="A120" t="str">
        <f>_xlfn.CONCAT(Table1[[#This Row],[year]],Table1[[#This Row],[semester]],Table1[[#This Row],[moed]],Table1[[#This Row],[question]],Table1[[#This Row],[section]])</f>
        <v>2006bb2</v>
      </c>
      <c r="B120">
        <v>2006</v>
      </c>
      <c r="C120" t="s">
        <v>8</v>
      </c>
      <c r="D120" t="s">
        <v>8</v>
      </c>
      <c r="E120">
        <v>2</v>
      </c>
      <c r="G120">
        <v>9</v>
      </c>
      <c r="H120" t="s">
        <v>318</v>
      </c>
      <c r="I120" t="s">
        <v>319</v>
      </c>
      <c r="M120" t="str">
        <f>IFERROR(Table1[[#This Row],[avg_score]]/Table1[[#This Row],[max_score]]*100,"")</f>
        <v/>
      </c>
      <c r="N120" t="str">
        <f>IFERROR(Table1[[#This Row],[std_score]]/Table1[[#This Row],[max_score]]*100,"")</f>
        <v/>
      </c>
    </row>
    <row r="121" spans="1:14" x14ac:dyDescent="0.3">
      <c r="A121" t="str">
        <f>_xlfn.CONCAT(Table1[[#This Row],[year]],Table1[[#This Row],[semester]],Table1[[#This Row],[moed]],Table1[[#This Row],[question]],Table1[[#This Row],[section]])</f>
        <v>2006bb3</v>
      </c>
      <c r="B121">
        <v>2006</v>
      </c>
      <c r="C121" t="s">
        <v>8</v>
      </c>
      <c r="D121" t="s">
        <v>8</v>
      </c>
      <c r="E121">
        <v>3</v>
      </c>
      <c r="G121">
        <v>9</v>
      </c>
      <c r="H121" t="s">
        <v>320</v>
      </c>
      <c r="I121" t="s">
        <v>321</v>
      </c>
      <c r="M121" t="str">
        <f>IFERROR(Table1[[#This Row],[avg_score]]/Table1[[#This Row],[max_score]]*100,"")</f>
        <v/>
      </c>
      <c r="N121" t="str">
        <f>IFERROR(Table1[[#This Row],[std_score]]/Table1[[#This Row],[max_score]]*100,"")</f>
        <v/>
      </c>
    </row>
    <row r="122" spans="1:14" x14ac:dyDescent="0.3">
      <c r="A122" t="str">
        <f>_xlfn.CONCAT(Table1[[#This Row],[year]],Table1[[#This Row],[semester]],Table1[[#This Row],[moed]],Table1[[#This Row],[question]],Table1[[#This Row],[section]])</f>
        <v>2006bb4</v>
      </c>
      <c r="B122">
        <v>2006</v>
      </c>
      <c r="C122" t="s">
        <v>8</v>
      </c>
      <c r="D122" t="s">
        <v>8</v>
      </c>
      <c r="E122">
        <v>4</v>
      </c>
      <c r="G122">
        <v>9</v>
      </c>
      <c r="H122" t="s">
        <v>322</v>
      </c>
      <c r="I122" t="s">
        <v>323</v>
      </c>
      <c r="M122" t="str">
        <f>IFERROR(Table1[[#This Row],[avg_score]]/Table1[[#This Row],[max_score]]*100,"")</f>
        <v/>
      </c>
      <c r="N122" t="str">
        <f>IFERROR(Table1[[#This Row],[std_score]]/Table1[[#This Row],[max_score]]*100,"")</f>
        <v/>
      </c>
    </row>
    <row r="123" spans="1:14" x14ac:dyDescent="0.3">
      <c r="A123" t="str">
        <f>_xlfn.CONCAT(Table1[[#This Row],[year]],Table1[[#This Row],[semester]],Table1[[#This Row],[moed]],Table1[[#This Row],[question]],Table1[[#This Row],[section]])</f>
        <v>2006bb5</v>
      </c>
      <c r="B123">
        <v>2006</v>
      </c>
      <c r="C123" t="s">
        <v>8</v>
      </c>
      <c r="D123" t="s">
        <v>8</v>
      </c>
      <c r="E123">
        <v>5</v>
      </c>
      <c r="G123">
        <v>9</v>
      </c>
      <c r="H123" t="s">
        <v>324</v>
      </c>
      <c r="I123" t="s">
        <v>325</v>
      </c>
      <c r="M123" t="str">
        <f>IFERROR(Table1[[#This Row],[avg_score]]/Table1[[#This Row],[max_score]]*100,"")</f>
        <v/>
      </c>
      <c r="N123" t="str">
        <f>IFERROR(Table1[[#This Row],[std_score]]/Table1[[#This Row],[max_score]]*100,"")</f>
        <v/>
      </c>
    </row>
    <row r="124" spans="1:14" x14ac:dyDescent="0.3">
      <c r="A124" t="str">
        <f>_xlfn.CONCAT(Table1[[#This Row],[year]],Table1[[#This Row],[semester]],Table1[[#This Row],[moed]],Table1[[#This Row],[question]],Table1[[#This Row],[section]])</f>
        <v>2006bb6</v>
      </c>
      <c r="B124">
        <v>2006</v>
      </c>
      <c r="C124" t="s">
        <v>8</v>
      </c>
      <c r="D124" t="s">
        <v>8</v>
      </c>
      <c r="E124">
        <v>6</v>
      </c>
      <c r="G124">
        <v>9</v>
      </c>
      <c r="H124" t="s">
        <v>326</v>
      </c>
      <c r="I124" t="s">
        <v>327</v>
      </c>
      <c r="M124" t="str">
        <f>IFERROR(Table1[[#This Row],[avg_score]]/Table1[[#This Row],[max_score]]*100,"")</f>
        <v/>
      </c>
      <c r="N124" t="str">
        <f>IFERROR(Table1[[#This Row],[std_score]]/Table1[[#This Row],[max_score]]*100,"")</f>
        <v/>
      </c>
    </row>
    <row r="125" spans="1:14" x14ac:dyDescent="0.3">
      <c r="A125" t="str">
        <f>_xlfn.CONCAT(Table1[[#This Row],[year]],Table1[[#This Row],[semester]],Table1[[#This Row],[moed]],Table1[[#This Row],[question]],Table1[[#This Row],[section]])</f>
        <v>2006bb7.a</v>
      </c>
      <c r="B125">
        <v>2006</v>
      </c>
      <c r="C125" t="s">
        <v>8</v>
      </c>
      <c r="D125" t="s">
        <v>8</v>
      </c>
      <c r="E125" t="s">
        <v>156</v>
      </c>
      <c r="G125">
        <v>12</v>
      </c>
      <c r="H125" t="s">
        <v>328</v>
      </c>
      <c r="I125" t="s">
        <v>329</v>
      </c>
      <c r="M125" t="str">
        <f>IFERROR(Table1[[#This Row],[avg_score]]/Table1[[#This Row],[max_score]]*100,"")</f>
        <v/>
      </c>
      <c r="N125" t="str">
        <f>IFERROR(Table1[[#This Row],[std_score]]/Table1[[#This Row],[max_score]]*100,"")</f>
        <v/>
      </c>
    </row>
    <row r="126" spans="1:14" x14ac:dyDescent="0.3">
      <c r="A126" t="str">
        <f>_xlfn.CONCAT(Table1[[#This Row],[year]],Table1[[#This Row],[semester]],Table1[[#This Row],[moed]],Table1[[#This Row],[question]],Table1[[#This Row],[section]])</f>
        <v>2006bb7.b</v>
      </c>
      <c r="B126">
        <v>2006</v>
      </c>
      <c r="C126" t="s">
        <v>8</v>
      </c>
      <c r="D126" t="s">
        <v>8</v>
      </c>
      <c r="E126" t="s">
        <v>157</v>
      </c>
      <c r="G126">
        <v>11</v>
      </c>
      <c r="H126" t="s">
        <v>330</v>
      </c>
      <c r="I126" t="s">
        <v>331</v>
      </c>
      <c r="M126" t="str">
        <f>IFERROR(Table1[[#This Row],[avg_score]]/Table1[[#This Row],[max_score]]*100,"")</f>
        <v/>
      </c>
      <c r="N126" t="str">
        <f>IFERROR(Table1[[#This Row],[std_score]]/Table1[[#This Row],[max_score]]*100,"")</f>
        <v/>
      </c>
    </row>
    <row r="127" spans="1:14" x14ac:dyDescent="0.3">
      <c r="A127" t="str">
        <f>_xlfn.CONCAT(Table1[[#This Row],[year]],Table1[[#This Row],[semester]],Table1[[#This Row],[moed]],Table1[[#This Row],[question]],Table1[[#This Row],[section]])</f>
        <v>2006bb8.a</v>
      </c>
      <c r="B127">
        <v>2006</v>
      </c>
      <c r="C127" t="s">
        <v>8</v>
      </c>
      <c r="D127" t="s">
        <v>8</v>
      </c>
      <c r="E127" t="s">
        <v>158</v>
      </c>
      <c r="G127">
        <v>12</v>
      </c>
      <c r="H127" t="s">
        <v>332</v>
      </c>
      <c r="I127" t="s">
        <v>333</v>
      </c>
      <c r="M127" t="str">
        <f>IFERROR(Table1[[#This Row],[avg_score]]/Table1[[#This Row],[max_score]]*100,"")</f>
        <v/>
      </c>
      <c r="N127" t="str">
        <f>IFERROR(Table1[[#This Row],[std_score]]/Table1[[#This Row],[max_score]]*100,"")</f>
        <v/>
      </c>
    </row>
    <row r="128" spans="1:14" x14ac:dyDescent="0.3">
      <c r="A128" t="str">
        <f>_xlfn.CONCAT(Table1[[#This Row],[year]],Table1[[#This Row],[semester]],Table1[[#This Row],[moed]],Table1[[#This Row],[question]],Table1[[#This Row],[section]])</f>
        <v>2006bb8.b</v>
      </c>
      <c r="B128">
        <v>2006</v>
      </c>
      <c r="C128" t="s">
        <v>8</v>
      </c>
      <c r="D128" t="s">
        <v>8</v>
      </c>
      <c r="E128" t="s">
        <v>159</v>
      </c>
      <c r="G128">
        <v>11</v>
      </c>
      <c r="H128" t="s">
        <v>334</v>
      </c>
      <c r="I128" t="s">
        <v>335</v>
      </c>
      <c r="M128" t="str">
        <f>IFERROR(Table1[[#This Row],[avg_score]]/Table1[[#This Row],[max_score]]*100,"")</f>
        <v/>
      </c>
      <c r="N128" t="str">
        <f>IFERROR(Table1[[#This Row],[std_score]]/Table1[[#This Row],[max_score]]*100,"")</f>
        <v/>
      </c>
    </row>
    <row r="129" spans="1:14" x14ac:dyDescent="0.3">
      <c r="A129" t="str">
        <f>_xlfn.CONCAT(Table1[[#This Row],[year]],Table1[[#This Row],[semester]],Table1[[#This Row],[moed]],Table1[[#This Row],[question]],Table1[[#This Row],[section]])</f>
        <v>2007aa1</v>
      </c>
      <c r="B129">
        <v>2007</v>
      </c>
      <c r="C129" t="s">
        <v>7</v>
      </c>
      <c r="D129" t="s">
        <v>7</v>
      </c>
      <c r="E129">
        <v>1</v>
      </c>
      <c r="G129">
        <v>7</v>
      </c>
      <c r="H129" t="s">
        <v>336</v>
      </c>
      <c r="I129" t="s">
        <v>337</v>
      </c>
      <c r="M129" t="str">
        <f>IFERROR(Table1[[#This Row],[avg_score]]/Table1[[#This Row],[max_score]]*100,"")</f>
        <v/>
      </c>
      <c r="N129" t="str">
        <f>IFERROR(Table1[[#This Row],[std_score]]/Table1[[#This Row],[max_score]]*100,"")</f>
        <v/>
      </c>
    </row>
    <row r="130" spans="1:14" x14ac:dyDescent="0.3">
      <c r="A130" t="str">
        <f>_xlfn.CONCAT(Table1[[#This Row],[year]],Table1[[#This Row],[semester]],Table1[[#This Row],[moed]],Table1[[#This Row],[question]],Table1[[#This Row],[section]])</f>
        <v>2007aa2</v>
      </c>
      <c r="B130">
        <v>2007</v>
      </c>
      <c r="C130" t="s">
        <v>7</v>
      </c>
      <c r="D130" t="s">
        <v>7</v>
      </c>
      <c r="E130">
        <v>2</v>
      </c>
      <c r="G130">
        <v>7</v>
      </c>
      <c r="H130" t="s">
        <v>338</v>
      </c>
      <c r="I130" t="s">
        <v>339</v>
      </c>
      <c r="M130" t="str">
        <f>IFERROR(Table1[[#This Row],[avg_score]]/Table1[[#This Row],[max_score]]*100,"")</f>
        <v/>
      </c>
      <c r="N130" t="str">
        <f>IFERROR(Table1[[#This Row],[std_score]]/Table1[[#This Row],[max_score]]*100,"")</f>
        <v/>
      </c>
    </row>
    <row r="131" spans="1:14" x14ac:dyDescent="0.3">
      <c r="A131" t="str">
        <f>_xlfn.CONCAT(Table1[[#This Row],[year]],Table1[[#This Row],[semester]],Table1[[#This Row],[moed]],Table1[[#This Row],[question]],Table1[[#This Row],[section]])</f>
        <v>2007aa3</v>
      </c>
      <c r="B131">
        <v>2007</v>
      </c>
      <c r="C131" t="s">
        <v>7</v>
      </c>
      <c r="D131" t="s">
        <v>7</v>
      </c>
      <c r="E131">
        <v>3</v>
      </c>
      <c r="G131">
        <v>7</v>
      </c>
      <c r="H131" t="s">
        <v>340</v>
      </c>
      <c r="I131" t="s">
        <v>341</v>
      </c>
      <c r="M131" t="str">
        <f>IFERROR(Table1[[#This Row],[avg_score]]/Table1[[#This Row],[max_score]]*100,"")</f>
        <v/>
      </c>
      <c r="N131" t="str">
        <f>IFERROR(Table1[[#This Row],[std_score]]/Table1[[#This Row],[max_score]]*100,"")</f>
        <v/>
      </c>
    </row>
    <row r="132" spans="1:14" x14ac:dyDescent="0.3">
      <c r="A132" t="str">
        <f>_xlfn.CONCAT(Table1[[#This Row],[year]],Table1[[#This Row],[semester]],Table1[[#This Row],[moed]],Table1[[#This Row],[question]],Table1[[#This Row],[section]])</f>
        <v>2007aa4</v>
      </c>
      <c r="B132">
        <v>2007</v>
      </c>
      <c r="C132" t="s">
        <v>7</v>
      </c>
      <c r="D132" t="s">
        <v>7</v>
      </c>
      <c r="E132">
        <v>4</v>
      </c>
      <c r="G132">
        <v>7</v>
      </c>
      <c r="H132" t="s">
        <v>342</v>
      </c>
      <c r="I132" t="s">
        <v>343</v>
      </c>
      <c r="M132" t="str">
        <f>IFERROR(Table1[[#This Row],[avg_score]]/Table1[[#This Row],[max_score]]*100,"")</f>
        <v/>
      </c>
      <c r="N132" t="str">
        <f>IFERROR(Table1[[#This Row],[std_score]]/Table1[[#This Row],[max_score]]*100,"")</f>
        <v/>
      </c>
    </row>
    <row r="133" spans="1:14" x14ac:dyDescent="0.3">
      <c r="A133" t="str">
        <f>_xlfn.CONCAT(Table1[[#This Row],[year]],Table1[[#This Row],[semester]],Table1[[#This Row],[moed]],Table1[[#This Row],[question]],Table1[[#This Row],[section]])</f>
        <v>2007aa5</v>
      </c>
      <c r="B133">
        <v>2007</v>
      </c>
      <c r="C133" t="s">
        <v>7</v>
      </c>
      <c r="D133" t="s">
        <v>7</v>
      </c>
      <c r="E133">
        <v>5</v>
      </c>
      <c r="G133">
        <v>7</v>
      </c>
      <c r="H133" t="s">
        <v>344</v>
      </c>
      <c r="I133" t="s">
        <v>345</v>
      </c>
      <c r="M133" t="str">
        <f>IFERROR(Table1[[#This Row],[avg_score]]/Table1[[#This Row],[max_score]]*100,"")</f>
        <v/>
      </c>
      <c r="N133" t="str">
        <f>IFERROR(Table1[[#This Row],[std_score]]/Table1[[#This Row],[max_score]]*100,"")</f>
        <v/>
      </c>
    </row>
    <row r="134" spans="1:14" x14ac:dyDescent="0.3">
      <c r="A134" t="str">
        <f>_xlfn.CONCAT(Table1[[#This Row],[year]],Table1[[#This Row],[semester]],Table1[[#This Row],[moed]],Table1[[#This Row],[question]],Table1[[#This Row],[section]])</f>
        <v>2007aa6</v>
      </c>
      <c r="B134">
        <v>2007</v>
      </c>
      <c r="C134" t="s">
        <v>7</v>
      </c>
      <c r="D134" t="s">
        <v>7</v>
      </c>
      <c r="E134">
        <v>6</v>
      </c>
      <c r="G134">
        <v>7</v>
      </c>
      <c r="H134" t="s">
        <v>346</v>
      </c>
      <c r="I134" t="s">
        <v>347</v>
      </c>
      <c r="M134" t="str">
        <f>IFERROR(Table1[[#This Row],[avg_score]]/Table1[[#This Row],[max_score]]*100,"")</f>
        <v/>
      </c>
      <c r="N134" t="str">
        <f>IFERROR(Table1[[#This Row],[std_score]]/Table1[[#This Row],[max_score]]*100,"")</f>
        <v/>
      </c>
    </row>
    <row r="135" spans="1:14" x14ac:dyDescent="0.3">
      <c r="A135" t="str">
        <f>_xlfn.CONCAT(Table1[[#This Row],[year]],Table1[[#This Row],[semester]],Table1[[#This Row],[moed]],Table1[[#This Row],[question]],Table1[[#This Row],[section]])</f>
        <v>2007aa7</v>
      </c>
      <c r="B135">
        <v>2007</v>
      </c>
      <c r="C135" t="s">
        <v>7</v>
      </c>
      <c r="D135" t="s">
        <v>7</v>
      </c>
      <c r="E135">
        <v>7</v>
      </c>
      <c r="G135">
        <v>7</v>
      </c>
      <c r="H135" t="s">
        <v>348</v>
      </c>
      <c r="I135" t="s">
        <v>349</v>
      </c>
      <c r="M135" t="str">
        <f>IFERROR(Table1[[#This Row],[avg_score]]/Table1[[#This Row],[max_score]]*100,"")</f>
        <v/>
      </c>
      <c r="N135" t="str">
        <f>IFERROR(Table1[[#This Row],[std_score]]/Table1[[#This Row],[max_score]]*100,"")</f>
        <v/>
      </c>
    </row>
    <row r="136" spans="1:14" x14ac:dyDescent="0.3">
      <c r="A136" t="str">
        <f>_xlfn.CONCAT(Table1[[#This Row],[year]],Table1[[#This Row],[semester]],Table1[[#This Row],[moed]],Table1[[#This Row],[question]],Table1[[#This Row],[section]])</f>
        <v>2007aa8</v>
      </c>
      <c r="B136">
        <v>2007</v>
      </c>
      <c r="C136" t="s">
        <v>7</v>
      </c>
      <c r="D136" t="s">
        <v>7</v>
      </c>
      <c r="E136">
        <v>8</v>
      </c>
      <c r="G136">
        <v>8</v>
      </c>
      <c r="H136" t="s">
        <v>350</v>
      </c>
      <c r="I136" t="s">
        <v>351</v>
      </c>
      <c r="M136" t="str">
        <f>IFERROR(Table1[[#This Row],[avg_score]]/Table1[[#This Row],[max_score]]*100,"")</f>
        <v/>
      </c>
      <c r="N136" t="str">
        <f>IFERROR(Table1[[#This Row],[std_score]]/Table1[[#This Row],[max_score]]*100,"")</f>
        <v/>
      </c>
    </row>
    <row r="137" spans="1:14" x14ac:dyDescent="0.3">
      <c r="A137" t="str">
        <f>_xlfn.CONCAT(Table1[[#This Row],[year]],Table1[[#This Row],[semester]],Table1[[#This Row],[moed]],Table1[[#This Row],[question]],Table1[[#This Row],[section]])</f>
        <v>2007aa9.a</v>
      </c>
      <c r="B137">
        <v>2007</v>
      </c>
      <c r="C137" t="s">
        <v>7</v>
      </c>
      <c r="D137" t="s">
        <v>7</v>
      </c>
      <c r="E137" t="s">
        <v>148</v>
      </c>
      <c r="G137">
        <v>8</v>
      </c>
      <c r="H137" t="s">
        <v>352</v>
      </c>
      <c r="I137" t="s">
        <v>353</v>
      </c>
      <c r="M137" t="str">
        <f>IFERROR(Table1[[#This Row],[avg_score]]/Table1[[#This Row],[max_score]]*100,"")</f>
        <v/>
      </c>
      <c r="N137" t="str">
        <f>IFERROR(Table1[[#This Row],[std_score]]/Table1[[#This Row],[max_score]]*100,"")</f>
        <v/>
      </c>
    </row>
    <row r="138" spans="1:14" x14ac:dyDescent="0.3">
      <c r="A138" t="str">
        <f>_xlfn.CONCAT(Table1[[#This Row],[year]],Table1[[#This Row],[semester]],Table1[[#This Row],[moed]],Table1[[#This Row],[question]],Table1[[#This Row],[section]])</f>
        <v>2007aa9.b</v>
      </c>
      <c r="B138">
        <v>2007</v>
      </c>
      <c r="C138" t="s">
        <v>7</v>
      </c>
      <c r="D138" t="s">
        <v>7</v>
      </c>
      <c r="E138" t="s">
        <v>149</v>
      </c>
      <c r="G138">
        <v>10</v>
      </c>
      <c r="H138" t="s">
        <v>354</v>
      </c>
      <c r="I138" t="s">
        <v>355</v>
      </c>
      <c r="M138" t="str">
        <f>IFERROR(Table1[[#This Row],[avg_score]]/Table1[[#This Row],[max_score]]*100,"")</f>
        <v/>
      </c>
      <c r="N138" t="str">
        <f>IFERROR(Table1[[#This Row],[std_score]]/Table1[[#This Row],[max_score]]*100,"")</f>
        <v/>
      </c>
    </row>
    <row r="139" spans="1:14" x14ac:dyDescent="0.3">
      <c r="A139" t="str">
        <f>_xlfn.CONCAT(Table1[[#This Row],[year]],Table1[[#This Row],[semester]],Table1[[#This Row],[moed]],Table1[[#This Row],[question]],Table1[[#This Row],[section]])</f>
        <v>2007aa10</v>
      </c>
      <c r="B139">
        <v>2007</v>
      </c>
      <c r="C139" t="s">
        <v>7</v>
      </c>
      <c r="D139" t="s">
        <v>7</v>
      </c>
      <c r="E139">
        <v>10</v>
      </c>
      <c r="G139">
        <v>10</v>
      </c>
      <c r="H139" t="s">
        <v>356</v>
      </c>
      <c r="I139" t="s">
        <v>357</v>
      </c>
      <c r="M139" t="str">
        <f>IFERROR(Table1[[#This Row],[avg_score]]/Table1[[#This Row],[max_score]]*100,"")</f>
        <v/>
      </c>
      <c r="N139" t="str">
        <f>IFERROR(Table1[[#This Row],[std_score]]/Table1[[#This Row],[max_score]]*100,"")</f>
        <v/>
      </c>
    </row>
    <row r="140" spans="1:14" x14ac:dyDescent="0.3">
      <c r="A140" t="str">
        <f>_xlfn.CONCAT(Table1[[#This Row],[year]],Table1[[#This Row],[semester]],Table1[[#This Row],[moed]],Table1[[#This Row],[question]],Table1[[#This Row],[section]])</f>
        <v>2014aa1-a</v>
      </c>
      <c r="B140">
        <v>2014</v>
      </c>
      <c r="C140" t="s">
        <v>7</v>
      </c>
      <c r="D140" t="s">
        <v>7</v>
      </c>
      <c r="E140" t="s">
        <v>160</v>
      </c>
      <c r="H140" t="s">
        <v>358</v>
      </c>
      <c r="I140" t="s">
        <v>359</v>
      </c>
      <c r="M140" t="str">
        <f>IFERROR(Table1[[#This Row],[avg_score]]/Table1[[#This Row],[max_score]]*100,"")</f>
        <v/>
      </c>
      <c r="N140" t="str">
        <f>IFERROR(Table1[[#This Row],[std_score]]/Table1[[#This Row],[max_score]]*100,"")</f>
        <v/>
      </c>
    </row>
    <row r="141" spans="1:14" x14ac:dyDescent="0.3">
      <c r="A141" t="str">
        <f>_xlfn.CONCAT(Table1[[#This Row],[year]],Table1[[#This Row],[semester]],Table1[[#This Row],[moed]],Table1[[#This Row],[question]],Table1[[#This Row],[section]])</f>
        <v>2014aa1-b</v>
      </c>
      <c r="B141">
        <v>2014</v>
      </c>
      <c r="C141" t="s">
        <v>7</v>
      </c>
      <c r="D141" t="s">
        <v>7</v>
      </c>
      <c r="E141" t="s">
        <v>161</v>
      </c>
      <c r="H141" t="s">
        <v>360</v>
      </c>
      <c r="I141" t="s">
        <v>361</v>
      </c>
      <c r="M141" t="str">
        <f>IFERROR(Table1[[#This Row],[avg_score]]/Table1[[#This Row],[max_score]]*100,"")</f>
        <v/>
      </c>
      <c r="N141" t="str">
        <f>IFERROR(Table1[[#This Row],[std_score]]/Table1[[#This Row],[max_score]]*100,"")</f>
        <v/>
      </c>
    </row>
    <row r="142" spans="1:14" x14ac:dyDescent="0.3">
      <c r="A142" t="str">
        <f>_xlfn.CONCAT(Table1[[#This Row],[year]],Table1[[#This Row],[semester]],Table1[[#This Row],[moed]],Table1[[#This Row],[question]],Table1[[#This Row],[section]])</f>
        <v>2014aa1-c</v>
      </c>
      <c r="B142">
        <v>2014</v>
      </c>
      <c r="C142" t="s">
        <v>7</v>
      </c>
      <c r="D142" t="s">
        <v>7</v>
      </c>
      <c r="E142" t="s">
        <v>162</v>
      </c>
      <c r="H142" t="s">
        <v>362</v>
      </c>
      <c r="I142" t="s">
        <v>363</v>
      </c>
      <c r="M142" t="str">
        <f>IFERROR(Table1[[#This Row],[avg_score]]/Table1[[#This Row],[max_score]]*100,"")</f>
        <v/>
      </c>
      <c r="N142" t="str">
        <f>IFERROR(Table1[[#This Row],[std_score]]/Table1[[#This Row],[max_score]]*100,"")</f>
        <v/>
      </c>
    </row>
    <row r="143" spans="1:14" x14ac:dyDescent="0.3">
      <c r="A143" t="str">
        <f>_xlfn.CONCAT(Table1[[#This Row],[year]],Table1[[#This Row],[semester]],Table1[[#This Row],[moed]],Table1[[#This Row],[question]],Table1[[#This Row],[section]])</f>
        <v>2014aa1-d</v>
      </c>
      <c r="B143">
        <v>2014</v>
      </c>
      <c r="C143" t="s">
        <v>7</v>
      </c>
      <c r="D143" t="s">
        <v>7</v>
      </c>
      <c r="E143" t="s">
        <v>163</v>
      </c>
      <c r="H143" t="s">
        <v>364</v>
      </c>
      <c r="I143" t="s">
        <v>365</v>
      </c>
      <c r="M143" t="str">
        <f>IFERROR(Table1[[#This Row],[avg_score]]/Table1[[#This Row],[max_score]]*100,"")</f>
        <v/>
      </c>
      <c r="N143" t="str">
        <f>IFERROR(Table1[[#This Row],[std_score]]/Table1[[#This Row],[max_score]]*100,"")</f>
        <v/>
      </c>
    </row>
    <row r="144" spans="1:14" x14ac:dyDescent="0.3">
      <c r="A144" t="str">
        <f>_xlfn.CONCAT(Table1[[#This Row],[year]],Table1[[#This Row],[semester]],Table1[[#This Row],[moed]],Table1[[#This Row],[question]],Table1[[#This Row],[section]])</f>
        <v>2014aa1-e</v>
      </c>
      <c r="B144">
        <v>2014</v>
      </c>
      <c r="C144" t="s">
        <v>7</v>
      </c>
      <c r="D144" t="s">
        <v>7</v>
      </c>
      <c r="E144" t="s">
        <v>164</v>
      </c>
      <c r="H144" t="s">
        <v>366</v>
      </c>
      <c r="I144" t="s">
        <v>367</v>
      </c>
      <c r="M144" t="str">
        <f>IFERROR(Table1[[#This Row],[avg_score]]/Table1[[#This Row],[max_score]]*100,"")</f>
        <v/>
      </c>
      <c r="N144" t="str">
        <f>IFERROR(Table1[[#This Row],[std_score]]/Table1[[#This Row],[max_score]]*100,"")</f>
        <v/>
      </c>
    </row>
    <row r="145" spans="1:14" x14ac:dyDescent="0.3">
      <c r="A145" t="str">
        <f>_xlfn.CONCAT(Table1[[#This Row],[year]],Table1[[#This Row],[semester]],Table1[[#This Row],[moed]],Table1[[#This Row],[question]],Table1[[#This Row],[section]])</f>
        <v>2014aa2-a</v>
      </c>
      <c r="B145">
        <v>2014</v>
      </c>
      <c r="C145" t="s">
        <v>7</v>
      </c>
      <c r="D145" t="s">
        <v>7</v>
      </c>
      <c r="E145" t="s">
        <v>165</v>
      </c>
      <c r="H145" t="s">
        <v>368</v>
      </c>
      <c r="I145" t="s">
        <v>369</v>
      </c>
      <c r="M145" t="str">
        <f>IFERROR(Table1[[#This Row],[avg_score]]/Table1[[#This Row],[max_score]]*100,"")</f>
        <v/>
      </c>
      <c r="N145" t="str">
        <f>IFERROR(Table1[[#This Row],[std_score]]/Table1[[#This Row],[max_score]]*100,"")</f>
        <v/>
      </c>
    </row>
    <row r="146" spans="1:14" x14ac:dyDescent="0.3">
      <c r="A146" t="str">
        <f>_xlfn.CONCAT(Table1[[#This Row],[year]],Table1[[#This Row],[semester]],Table1[[#This Row],[moed]],Table1[[#This Row],[question]],Table1[[#This Row],[section]])</f>
        <v>2014aa2-b</v>
      </c>
      <c r="B146">
        <v>2014</v>
      </c>
      <c r="C146" t="s">
        <v>7</v>
      </c>
      <c r="D146" t="s">
        <v>7</v>
      </c>
      <c r="E146" t="s">
        <v>166</v>
      </c>
      <c r="H146" t="s">
        <v>370</v>
      </c>
      <c r="I146" t="s">
        <v>371</v>
      </c>
      <c r="M146" t="str">
        <f>IFERROR(Table1[[#This Row],[avg_score]]/Table1[[#This Row],[max_score]]*100,"")</f>
        <v/>
      </c>
      <c r="N146" t="str">
        <f>IFERROR(Table1[[#This Row],[std_score]]/Table1[[#This Row],[max_score]]*100,"")</f>
        <v/>
      </c>
    </row>
    <row r="147" spans="1:14" x14ac:dyDescent="0.3">
      <c r="A147" t="str">
        <f>_xlfn.CONCAT(Table1[[#This Row],[year]],Table1[[#This Row],[semester]],Table1[[#This Row],[moed]],Table1[[#This Row],[question]],Table1[[#This Row],[section]])</f>
        <v>2014aa2-c</v>
      </c>
      <c r="B147">
        <v>2014</v>
      </c>
      <c r="C147" t="s">
        <v>7</v>
      </c>
      <c r="D147" t="s">
        <v>7</v>
      </c>
      <c r="E147" t="s">
        <v>167</v>
      </c>
      <c r="H147" t="s">
        <v>372</v>
      </c>
      <c r="I147" t="s">
        <v>373</v>
      </c>
      <c r="M147" t="str">
        <f>IFERROR(Table1[[#This Row],[avg_score]]/Table1[[#This Row],[max_score]]*100,"")</f>
        <v/>
      </c>
      <c r="N147" t="str">
        <f>IFERROR(Table1[[#This Row],[std_score]]/Table1[[#This Row],[max_score]]*100,"")</f>
        <v/>
      </c>
    </row>
    <row r="148" spans="1:14" x14ac:dyDescent="0.3">
      <c r="A148" t="str">
        <f>_xlfn.CONCAT(Table1[[#This Row],[year]],Table1[[#This Row],[semester]],Table1[[#This Row],[moed]],Table1[[#This Row],[question]],Table1[[#This Row],[section]])</f>
        <v>2014aa2-d</v>
      </c>
      <c r="B148">
        <v>2014</v>
      </c>
      <c r="C148" t="s">
        <v>7</v>
      </c>
      <c r="D148" t="s">
        <v>7</v>
      </c>
      <c r="E148" t="s">
        <v>168</v>
      </c>
      <c r="H148" t="s">
        <v>374</v>
      </c>
      <c r="I148" t="s">
        <v>375</v>
      </c>
      <c r="M148" t="str">
        <f>IFERROR(Table1[[#This Row],[avg_score]]/Table1[[#This Row],[max_score]]*100,"")</f>
        <v/>
      </c>
      <c r="N148" t="str">
        <f>IFERROR(Table1[[#This Row],[std_score]]/Table1[[#This Row],[max_score]]*100,"")</f>
        <v/>
      </c>
    </row>
    <row r="149" spans="1:14" x14ac:dyDescent="0.3">
      <c r="A149" t="str">
        <f>_xlfn.CONCAT(Table1[[#This Row],[year]],Table1[[#This Row],[semester]],Table1[[#This Row],[moed]],Table1[[#This Row],[question]],Table1[[#This Row],[section]])</f>
        <v>2014aa3-a</v>
      </c>
      <c r="B149">
        <v>2014</v>
      </c>
      <c r="C149" t="s">
        <v>7</v>
      </c>
      <c r="D149" t="s">
        <v>7</v>
      </c>
      <c r="E149" t="s">
        <v>169</v>
      </c>
      <c r="H149" t="s">
        <v>376</v>
      </c>
      <c r="I149" t="s">
        <v>377</v>
      </c>
      <c r="M149" t="str">
        <f>IFERROR(Table1[[#This Row],[avg_score]]/Table1[[#This Row],[max_score]]*100,"")</f>
        <v/>
      </c>
      <c r="N149" t="str">
        <f>IFERROR(Table1[[#This Row],[std_score]]/Table1[[#This Row],[max_score]]*100,"")</f>
        <v/>
      </c>
    </row>
    <row r="150" spans="1:14" x14ac:dyDescent="0.3">
      <c r="A150" t="str">
        <f>_xlfn.CONCAT(Table1[[#This Row],[year]],Table1[[#This Row],[semester]],Table1[[#This Row],[moed]],Table1[[#This Row],[question]],Table1[[#This Row],[section]])</f>
        <v>2014aa3-b</v>
      </c>
      <c r="B150">
        <v>2014</v>
      </c>
      <c r="C150" t="s">
        <v>7</v>
      </c>
      <c r="D150" t="s">
        <v>7</v>
      </c>
      <c r="E150" t="s">
        <v>170</v>
      </c>
      <c r="H150" t="s">
        <v>378</v>
      </c>
      <c r="I150" t="s">
        <v>379</v>
      </c>
      <c r="M150" t="str">
        <f>IFERROR(Table1[[#This Row],[avg_score]]/Table1[[#This Row],[max_score]]*100,"")</f>
        <v/>
      </c>
      <c r="N150" t="str">
        <f>IFERROR(Table1[[#This Row],[std_score]]/Table1[[#This Row],[max_score]]*100,"")</f>
        <v/>
      </c>
    </row>
    <row r="151" spans="1:14" x14ac:dyDescent="0.3">
      <c r="A151" t="str">
        <f>_xlfn.CONCAT(Table1[[#This Row],[year]],Table1[[#This Row],[semester]],Table1[[#This Row],[moed]],Table1[[#This Row],[question]],Table1[[#This Row],[section]])</f>
        <v>2014aa3-c</v>
      </c>
      <c r="B151">
        <v>2014</v>
      </c>
      <c r="C151" t="s">
        <v>7</v>
      </c>
      <c r="D151" t="s">
        <v>7</v>
      </c>
      <c r="E151" t="s">
        <v>171</v>
      </c>
      <c r="H151" t="s">
        <v>380</v>
      </c>
      <c r="I151" t="s">
        <v>381</v>
      </c>
      <c r="M151" t="str">
        <f>IFERROR(Table1[[#This Row],[avg_score]]/Table1[[#This Row],[max_score]]*100,"")</f>
        <v/>
      </c>
      <c r="N151" t="str">
        <f>IFERROR(Table1[[#This Row],[std_score]]/Table1[[#This Row],[max_score]]*100,"")</f>
        <v/>
      </c>
    </row>
    <row r="152" spans="1:14" x14ac:dyDescent="0.3">
      <c r="A152" t="str">
        <f>_xlfn.CONCAT(Table1[[#This Row],[year]],Table1[[#This Row],[semester]],Table1[[#This Row],[moed]],Table1[[#This Row],[question]],Table1[[#This Row],[section]])</f>
        <v>2014aa3-d</v>
      </c>
      <c r="B152">
        <v>2014</v>
      </c>
      <c r="C152" t="s">
        <v>7</v>
      </c>
      <c r="D152" t="s">
        <v>7</v>
      </c>
      <c r="E152" t="s">
        <v>172</v>
      </c>
      <c r="H152" t="s">
        <v>382</v>
      </c>
      <c r="I152" t="s">
        <v>383</v>
      </c>
      <c r="M152" t="str">
        <f>IFERROR(Table1[[#This Row],[avg_score]]/Table1[[#This Row],[max_score]]*100,"")</f>
        <v/>
      </c>
      <c r="N152" t="str">
        <f>IFERROR(Table1[[#This Row],[std_score]]/Table1[[#This Row],[max_score]]*100,"")</f>
        <v/>
      </c>
    </row>
    <row r="153" spans="1:14" x14ac:dyDescent="0.3">
      <c r="A153" t="str">
        <f>_xlfn.CONCAT(Table1[[#This Row],[year]],Table1[[#This Row],[semester]],Table1[[#This Row],[moed]],Table1[[#This Row],[question]],Table1[[#This Row],[section]])</f>
        <v>2014aa4-a</v>
      </c>
      <c r="B153">
        <v>2014</v>
      </c>
      <c r="C153" t="s">
        <v>7</v>
      </c>
      <c r="D153" t="s">
        <v>7</v>
      </c>
      <c r="E153" t="s">
        <v>173</v>
      </c>
      <c r="H153" t="s">
        <v>384</v>
      </c>
      <c r="I153" t="s">
        <v>385</v>
      </c>
      <c r="M153" t="str">
        <f>IFERROR(Table1[[#This Row],[avg_score]]/Table1[[#This Row],[max_score]]*100,"")</f>
        <v/>
      </c>
      <c r="N153" t="str">
        <f>IFERROR(Table1[[#This Row],[std_score]]/Table1[[#This Row],[max_score]]*100,"")</f>
        <v/>
      </c>
    </row>
    <row r="154" spans="1:14" x14ac:dyDescent="0.3">
      <c r="A154" t="str">
        <f>_xlfn.CONCAT(Table1[[#This Row],[year]],Table1[[#This Row],[semester]],Table1[[#This Row],[moed]],Table1[[#This Row],[question]],Table1[[#This Row],[section]])</f>
        <v>2014aa4-b</v>
      </c>
      <c r="B154">
        <v>2014</v>
      </c>
      <c r="C154" t="s">
        <v>7</v>
      </c>
      <c r="D154" t="s">
        <v>7</v>
      </c>
      <c r="E154" t="s">
        <v>174</v>
      </c>
      <c r="H154" t="s">
        <v>386</v>
      </c>
      <c r="I154" t="s">
        <v>387</v>
      </c>
      <c r="M154" t="str">
        <f>IFERROR(Table1[[#This Row],[avg_score]]/Table1[[#This Row],[max_score]]*100,"")</f>
        <v/>
      </c>
      <c r="N154" t="str">
        <f>IFERROR(Table1[[#This Row],[std_score]]/Table1[[#This Row],[max_score]]*100,"")</f>
        <v/>
      </c>
    </row>
    <row r="155" spans="1:14" x14ac:dyDescent="0.3">
      <c r="A155" t="str">
        <f>_xlfn.CONCAT(Table1[[#This Row],[year]],Table1[[#This Row],[semester]],Table1[[#This Row],[moed]],Table1[[#This Row],[question]],Table1[[#This Row],[section]])</f>
        <v>2014aa4-c</v>
      </c>
      <c r="B155">
        <v>2014</v>
      </c>
      <c r="C155" t="s">
        <v>7</v>
      </c>
      <c r="D155" t="s">
        <v>7</v>
      </c>
      <c r="E155" t="s">
        <v>175</v>
      </c>
      <c r="H155" t="s">
        <v>388</v>
      </c>
      <c r="I155" t="s">
        <v>389</v>
      </c>
      <c r="M155" t="str">
        <f>IFERROR(Table1[[#This Row],[avg_score]]/Table1[[#This Row],[max_score]]*100,"")</f>
        <v/>
      </c>
      <c r="N155" t="str">
        <f>IFERROR(Table1[[#This Row],[std_score]]/Table1[[#This Row],[max_score]]*100,"")</f>
        <v/>
      </c>
    </row>
    <row r="156" spans="1:14" x14ac:dyDescent="0.3">
      <c r="A156" t="str">
        <f>_xlfn.CONCAT(Table1[[#This Row],[year]],Table1[[#This Row],[semester]],Table1[[#This Row],[moed]],Table1[[#This Row],[question]],Table1[[#This Row],[section]])</f>
        <v>2014aa4-d</v>
      </c>
      <c r="B156">
        <v>2014</v>
      </c>
      <c r="C156" t="s">
        <v>7</v>
      </c>
      <c r="D156" t="s">
        <v>7</v>
      </c>
      <c r="E156" t="s">
        <v>176</v>
      </c>
      <c r="H156" t="s">
        <v>390</v>
      </c>
      <c r="I156" t="s">
        <v>391</v>
      </c>
      <c r="M156" t="str">
        <f>IFERROR(Table1[[#This Row],[avg_score]]/Table1[[#This Row],[max_score]]*100,"")</f>
        <v/>
      </c>
      <c r="N156" t="str">
        <f>IFERROR(Table1[[#This Row],[std_score]]/Table1[[#This Row],[max_score]]*100,"")</f>
        <v/>
      </c>
    </row>
    <row r="157" spans="1:14" x14ac:dyDescent="0.3">
      <c r="A157" t="str">
        <f>_xlfn.CONCAT(Table1[[#This Row],[year]],Table1[[#This Row],[semester]],Table1[[#This Row],[moed]],Table1[[#This Row],[question]],Table1[[#This Row],[section]])</f>
        <v>2014aa4-e</v>
      </c>
      <c r="B157">
        <v>2014</v>
      </c>
      <c r="C157" t="s">
        <v>7</v>
      </c>
      <c r="D157" t="s">
        <v>7</v>
      </c>
      <c r="E157" t="s">
        <v>177</v>
      </c>
      <c r="H157" t="s">
        <v>392</v>
      </c>
      <c r="I157" t="s">
        <v>393</v>
      </c>
      <c r="M157" t="str">
        <f>IFERROR(Table1[[#This Row],[avg_score]]/Table1[[#This Row],[max_score]]*100,"")</f>
        <v/>
      </c>
      <c r="N157" t="str">
        <f>IFERROR(Table1[[#This Row],[std_score]]/Table1[[#This Row],[max_score]]*100,"")</f>
        <v/>
      </c>
    </row>
    <row r="158" spans="1:14" x14ac:dyDescent="0.3">
      <c r="A158" t="str">
        <f>_xlfn.CONCAT(Table1[[#This Row],[year]],Table1[[#This Row],[semester]],Table1[[#This Row],[moed]],Table1[[#This Row],[question]],Table1[[#This Row],[section]])</f>
        <v>2016aa1-a</v>
      </c>
      <c r="B158">
        <v>2016</v>
      </c>
      <c r="C158" t="s">
        <v>7</v>
      </c>
      <c r="D158" t="s">
        <v>7</v>
      </c>
      <c r="E158" t="s">
        <v>160</v>
      </c>
      <c r="H158" t="s">
        <v>436</v>
      </c>
      <c r="I158" t="s">
        <v>437</v>
      </c>
      <c r="M158" t="str">
        <f>IFERROR(Table1[[#This Row],[avg_score]]/Table1[[#This Row],[max_score]]*100,"")</f>
        <v/>
      </c>
      <c r="N158" t="str">
        <f>IFERROR(Table1[[#This Row],[std_score]]/Table1[[#This Row],[max_score]]*100,"")</f>
        <v/>
      </c>
    </row>
    <row r="159" spans="1:14" x14ac:dyDescent="0.3">
      <c r="A159" t="str">
        <f>_xlfn.CONCAT(Table1[[#This Row],[year]],Table1[[#This Row],[semester]],Table1[[#This Row],[moed]],Table1[[#This Row],[question]],Table1[[#This Row],[section]])</f>
        <v>2016aa1-b</v>
      </c>
      <c r="B159">
        <v>2016</v>
      </c>
      <c r="C159" t="s">
        <v>7</v>
      </c>
      <c r="D159" t="s">
        <v>7</v>
      </c>
      <c r="E159" t="s">
        <v>161</v>
      </c>
      <c r="H159" t="s">
        <v>438</v>
      </c>
      <c r="I159" t="s">
        <v>439</v>
      </c>
      <c r="M159" t="str">
        <f>IFERROR(Table1[[#This Row],[avg_score]]/Table1[[#This Row],[max_score]]*100,"")</f>
        <v/>
      </c>
      <c r="N159" t="str">
        <f>IFERROR(Table1[[#This Row],[std_score]]/Table1[[#This Row],[max_score]]*100,"")</f>
        <v/>
      </c>
    </row>
    <row r="160" spans="1:14" x14ac:dyDescent="0.3">
      <c r="A160" t="str">
        <f>_xlfn.CONCAT(Table1[[#This Row],[year]],Table1[[#This Row],[semester]],Table1[[#This Row],[moed]],Table1[[#This Row],[question]],Table1[[#This Row],[section]])</f>
        <v>2016aa2-a</v>
      </c>
      <c r="B160">
        <v>2016</v>
      </c>
      <c r="C160" t="s">
        <v>7</v>
      </c>
      <c r="D160" t="s">
        <v>7</v>
      </c>
      <c r="E160" t="s">
        <v>165</v>
      </c>
      <c r="H160" t="s">
        <v>440</v>
      </c>
      <c r="I160" t="s">
        <v>441</v>
      </c>
      <c r="M160" t="str">
        <f>IFERROR(Table1[[#This Row],[avg_score]]/Table1[[#This Row],[max_score]]*100,"")</f>
        <v/>
      </c>
      <c r="N160" t="str">
        <f>IFERROR(Table1[[#This Row],[std_score]]/Table1[[#This Row],[max_score]]*100,"")</f>
        <v/>
      </c>
    </row>
    <row r="161" spans="1:14" x14ac:dyDescent="0.3">
      <c r="A161" t="str">
        <f>_xlfn.CONCAT(Table1[[#This Row],[year]],Table1[[#This Row],[semester]],Table1[[#This Row],[moed]],Table1[[#This Row],[question]],Table1[[#This Row],[section]])</f>
        <v>2016aa2-b</v>
      </c>
      <c r="B161">
        <v>2016</v>
      </c>
      <c r="C161" t="s">
        <v>7</v>
      </c>
      <c r="D161" t="s">
        <v>7</v>
      </c>
      <c r="E161" t="s">
        <v>166</v>
      </c>
      <c r="H161" t="s">
        <v>442</v>
      </c>
      <c r="I161" t="s">
        <v>443</v>
      </c>
      <c r="M161" t="str">
        <f>IFERROR(Table1[[#This Row],[avg_score]]/Table1[[#This Row],[max_score]]*100,"")</f>
        <v/>
      </c>
      <c r="N161" t="str">
        <f>IFERROR(Table1[[#This Row],[std_score]]/Table1[[#This Row],[max_score]]*100,"")</f>
        <v/>
      </c>
    </row>
    <row r="162" spans="1:14" x14ac:dyDescent="0.3">
      <c r="A162" t="str">
        <f>_xlfn.CONCAT(Table1[[#This Row],[year]],Table1[[#This Row],[semester]],Table1[[#This Row],[moed]],Table1[[#This Row],[question]],Table1[[#This Row],[section]])</f>
        <v>2016aa12</v>
      </c>
      <c r="B162">
        <v>2016</v>
      </c>
      <c r="C162" t="s">
        <v>7</v>
      </c>
      <c r="D162" t="s">
        <v>7</v>
      </c>
      <c r="E162">
        <v>12</v>
      </c>
      <c r="G162">
        <v>7</v>
      </c>
      <c r="H162" t="s">
        <v>444</v>
      </c>
      <c r="I162" t="s">
        <v>445</v>
      </c>
      <c r="M162" t="str">
        <f>IFERROR(Table1[[#This Row],[avg_score]]/Table1[[#This Row],[max_score]]*100,"")</f>
        <v/>
      </c>
      <c r="N162" t="str">
        <f>IFERROR(Table1[[#This Row],[std_score]]/Table1[[#This Row],[max_score]]*100,"")</f>
        <v/>
      </c>
    </row>
    <row r="163" spans="1:14" x14ac:dyDescent="0.3">
      <c r="A163" t="str">
        <f>_xlfn.CONCAT(Table1[[#This Row],[year]],Table1[[#This Row],[semester]],Table1[[#This Row],[moed]],Table1[[#This Row],[question]],Table1[[#This Row],[section]])</f>
        <v>2016aa13</v>
      </c>
      <c r="B163">
        <v>2016</v>
      </c>
      <c r="C163" t="s">
        <v>7</v>
      </c>
      <c r="D163" t="s">
        <v>7</v>
      </c>
      <c r="E163">
        <v>13</v>
      </c>
      <c r="G163">
        <v>8</v>
      </c>
      <c r="H163" t="s">
        <v>446</v>
      </c>
      <c r="I163" t="s">
        <v>447</v>
      </c>
      <c r="M163" t="str">
        <f>IFERROR(Table1[[#This Row],[avg_score]]/Table1[[#This Row],[max_score]]*100,"")</f>
        <v/>
      </c>
      <c r="N163" t="str">
        <f>IFERROR(Table1[[#This Row],[std_score]]/Table1[[#This Row],[max_score]]*100,"")</f>
        <v/>
      </c>
    </row>
    <row r="164" spans="1:14" x14ac:dyDescent="0.3">
      <c r="A164" t="str">
        <f>_xlfn.CONCAT(Table1[[#This Row],[year]],Table1[[#This Row],[semester]],Table1[[#This Row],[moed]],Table1[[#This Row],[question]],Table1[[#This Row],[section]])</f>
        <v>2016ab1-a</v>
      </c>
      <c r="B164">
        <v>2016</v>
      </c>
      <c r="C164" t="s">
        <v>7</v>
      </c>
      <c r="D164" t="s">
        <v>8</v>
      </c>
      <c r="E164" t="s">
        <v>160</v>
      </c>
      <c r="H164" t="s">
        <v>448</v>
      </c>
      <c r="I164" t="s">
        <v>449</v>
      </c>
      <c r="M164" t="str">
        <f>IFERROR(Table1[[#This Row],[avg_score]]/Table1[[#This Row],[max_score]]*100,"")</f>
        <v/>
      </c>
      <c r="N164" t="str">
        <f>IFERROR(Table1[[#This Row],[std_score]]/Table1[[#This Row],[max_score]]*100,"")</f>
        <v/>
      </c>
    </row>
    <row r="165" spans="1:14" x14ac:dyDescent="0.3">
      <c r="A165" t="str">
        <f>_xlfn.CONCAT(Table1[[#This Row],[year]],Table1[[#This Row],[semester]],Table1[[#This Row],[moed]],Table1[[#This Row],[question]],Table1[[#This Row],[section]])</f>
        <v>2016ab1-b</v>
      </c>
      <c r="B165">
        <v>2016</v>
      </c>
      <c r="C165" t="s">
        <v>7</v>
      </c>
      <c r="D165" t="s">
        <v>8</v>
      </c>
      <c r="E165" t="s">
        <v>161</v>
      </c>
      <c r="H165" t="s">
        <v>450</v>
      </c>
      <c r="I165" t="s">
        <v>451</v>
      </c>
      <c r="M165" t="str">
        <f>IFERROR(Table1[[#This Row],[avg_score]]/Table1[[#This Row],[max_score]]*100,"")</f>
        <v/>
      </c>
      <c r="N165" t="str">
        <f>IFERROR(Table1[[#This Row],[std_score]]/Table1[[#This Row],[max_score]]*100,"")</f>
        <v/>
      </c>
    </row>
    <row r="166" spans="1:14" x14ac:dyDescent="0.3">
      <c r="A166" t="str">
        <f>_xlfn.CONCAT(Table1[[#This Row],[year]],Table1[[#This Row],[semester]],Table1[[#This Row],[moed]],Table1[[#This Row],[question]],Table1[[#This Row],[section]])</f>
        <v>2016ab2-a</v>
      </c>
      <c r="B166">
        <v>2016</v>
      </c>
      <c r="C166" t="s">
        <v>7</v>
      </c>
      <c r="D166" t="s">
        <v>8</v>
      </c>
      <c r="E166" t="s">
        <v>165</v>
      </c>
      <c r="H166" t="s">
        <v>452</v>
      </c>
      <c r="I166" t="s">
        <v>453</v>
      </c>
      <c r="M166" t="str">
        <f>IFERROR(Table1[[#This Row],[avg_score]]/Table1[[#This Row],[max_score]]*100,"")</f>
        <v/>
      </c>
      <c r="N166" t="str">
        <f>IFERROR(Table1[[#This Row],[std_score]]/Table1[[#This Row],[max_score]]*100,"")</f>
        <v/>
      </c>
    </row>
    <row r="167" spans="1:14" x14ac:dyDescent="0.3">
      <c r="A167" t="str">
        <f>_xlfn.CONCAT(Table1[[#This Row],[year]],Table1[[#This Row],[semester]],Table1[[#This Row],[moed]],Table1[[#This Row],[question]],Table1[[#This Row],[section]])</f>
        <v>2016ab2-b</v>
      </c>
      <c r="B167">
        <v>2016</v>
      </c>
      <c r="C167" t="s">
        <v>7</v>
      </c>
      <c r="D167" t="s">
        <v>8</v>
      </c>
      <c r="E167" t="s">
        <v>166</v>
      </c>
      <c r="H167" t="s">
        <v>454</v>
      </c>
      <c r="I167" t="s">
        <v>455</v>
      </c>
      <c r="M167" t="str">
        <f>IFERROR(Table1[[#This Row],[avg_score]]/Table1[[#This Row],[max_score]]*100,"")</f>
        <v/>
      </c>
      <c r="N167" t="str">
        <f>IFERROR(Table1[[#This Row],[std_score]]/Table1[[#This Row],[max_score]]*100,"")</f>
        <v/>
      </c>
    </row>
    <row r="168" spans="1:14" x14ac:dyDescent="0.3">
      <c r="A168" t="str">
        <f>_xlfn.CONCAT(Table1[[#This Row],[year]],Table1[[#This Row],[semester]],Table1[[#This Row],[moed]],Table1[[#This Row],[question]],Table1[[#This Row],[section]])</f>
        <v>2016ab3</v>
      </c>
      <c r="B168">
        <v>2016</v>
      </c>
      <c r="C168" t="s">
        <v>7</v>
      </c>
      <c r="D168" t="s">
        <v>8</v>
      </c>
      <c r="E168">
        <v>3</v>
      </c>
      <c r="G168">
        <v>10</v>
      </c>
      <c r="H168" t="s">
        <v>456</v>
      </c>
      <c r="I168" t="s">
        <v>457</v>
      </c>
      <c r="M168" t="str">
        <f>IFERROR(Table1[[#This Row],[avg_score]]/Table1[[#This Row],[max_score]]*100,"")</f>
        <v/>
      </c>
      <c r="N168" t="str">
        <f>IFERROR(Table1[[#This Row],[std_score]]/Table1[[#This Row],[max_score]]*100,"")</f>
        <v/>
      </c>
    </row>
    <row r="169" spans="1:14" x14ac:dyDescent="0.3">
      <c r="A169" t="str">
        <f>_xlfn.CONCAT(Table1[[#This Row],[year]],Table1[[#This Row],[semester]],Table1[[#This Row],[moed]],Table1[[#This Row],[question]],Table1[[#This Row],[section]])</f>
        <v>2016ab5-a</v>
      </c>
      <c r="B169">
        <v>2016</v>
      </c>
      <c r="C169" t="s">
        <v>7</v>
      </c>
      <c r="D169" t="s">
        <v>8</v>
      </c>
      <c r="E169" t="s">
        <v>178</v>
      </c>
      <c r="H169" t="s">
        <v>458</v>
      </c>
      <c r="I169" t="s">
        <v>459</v>
      </c>
      <c r="M169" t="str">
        <f>IFERROR(Table1[[#This Row],[avg_score]]/Table1[[#This Row],[max_score]]*100,"")</f>
        <v/>
      </c>
      <c r="N169" t="str">
        <f>IFERROR(Table1[[#This Row],[std_score]]/Table1[[#This Row],[max_score]]*100,"")</f>
        <v/>
      </c>
    </row>
    <row r="170" spans="1:14" x14ac:dyDescent="0.3">
      <c r="A170" t="str">
        <f>_xlfn.CONCAT(Table1[[#This Row],[year]],Table1[[#This Row],[semester]],Table1[[#This Row],[moed]],Table1[[#This Row],[question]],Table1[[#This Row],[section]])</f>
        <v>2016ab5-c</v>
      </c>
      <c r="B170">
        <v>2016</v>
      </c>
      <c r="C170" t="s">
        <v>7</v>
      </c>
      <c r="D170" t="s">
        <v>8</v>
      </c>
      <c r="E170" t="s">
        <v>179</v>
      </c>
      <c r="H170" t="s">
        <v>460</v>
      </c>
      <c r="I170" t="s">
        <v>461</v>
      </c>
      <c r="M170" t="str">
        <f>IFERROR(Table1[[#This Row],[avg_score]]/Table1[[#This Row],[max_score]]*100,"")</f>
        <v/>
      </c>
      <c r="N170" t="str">
        <f>IFERROR(Table1[[#This Row],[std_score]]/Table1[[#This Row],[max_score]]*100,"")</f>
        <v/>
      </c>
    </row>
    <row r="171" spans="1:14" x14ac:dyDescent="0.3">
      <c r="A171" t="str">
        <f>_xlfn.CONCAT(Table1[[#This Row],[year]],Table1[[#This Row],[semester]],Table1[[#This Row],[moed]],Table1[[#This Row],[question]],Table1[[#This Row],[section]])</f>
        <v>2016ab10-a</v>
      </c>
      <c r="B171">
        <v>2016</v>
      </c>
      <c r="C171" t="s">
        <v>7</v>
      </c>
      <c r="D171" t="s">
        <v>8</v>
      </c>
      <c r="E171" t="s">
        <v>180</v>
      </c>
      <c r="G171">
        <v>3</v>
      </c>
      <c r="H171" t="s">
        <v>462</v>
      </c>
      <c r="I171" t="s">
        <v>463</v>
      </c>
      <c r="M171" t="str">
        <f>IFERROR(Table1[[#This Row],[avg_score]]/Table1[[#This Row],[max_score]]*100,"")</f>
        <v/>
      </c>
      <c r="N171" t="str">
        <f>IFERROR(Table1[[#This Row],[std_score]]/Table1[[#This Row],[max_score]]*100,"")</f>
        <v/>
      </c>
    </row>
    <row r="172" spans="1:14" x14ac:dyDescent="0.3">
      <c r="A172" t="str">
        <f>_xlfn.CONCAT(Table1[[#This Row],[year]],Table1[[#This Row],[semester]],Table1[[#This Row],[moed]],Table1[[#This Row],[question]],Table1[[#This Row],[section]])</f>
        <v>2016ab10-b</v>
      </c>
      <c r="B172">
        <v>2016</v>
      </c>
      <c r="C172" t="s">
        <v>7</v>
      </c>
      <c r="D172" t="s">
        <v>8</v>
      </c>
      <c r="E172" t="s">
        <v>181</v>
      </c>
      <c r="G172">
        <v>3</v>
      </c>
      <c r="H172" t="s">
        <v>464</v>
      </c>
      <c r="I172" t="s">
        <v>465</v>
      </c>
      <c r="M172" t="str">
        <f>IFERROR(Table1[[#This Row],[avg_score]]/Table1[[#This Row],[max_score]]*100,"")</f>
        <v/>
      </c>
      <c r="N172" t="str">
        <f>IFERROR(Table1[[#This Row],[std_score]]/Table1[[#This Row],[max_score]]*100,"")</f>
        <v/>
      </c>
    </row>
    <row r="173" spans="1:14" x14ac:dyDescent="0.3">
      <c r="A173" t="str">
        <f>_xlfn.CONCAT(Table1[[#This Row],[year]],Table1[[#This Row],[semester]],Table1[[#This Row],[moed]],Table1[[#This Row],[question]],Table1[[#This Row],[section]])</f>
        <v>2016ba1-a</v>
      </c>
      <c r="B173">
        <v>2016</v>
      </c>
      <c r="C173" t="s">
        <v>8</v>
      </c>
      <c r="D173" t="s">
        <v>7</v>
      </c>
      <c r="E173" t="s">
        <v>160</v>
      </c>
      <c r="G173">
        <v>5</v>
      </c>
      <c r="H173" t="s">
        <v>466</v>
      </c>
      <c r="I173" t="s">
        <v>467</v>
      </c>
      <c r="M173" t="str">
        <f>IFERROR(Table1[[#This Row],[avg_score]]/Table1[[#This Row],[max_score]]*100,"")</f>
        <v/>
      </c>
      <c r="N173" t="str">
        <f>IFERROR(Table1[[#This Row],[std_score]]/Table1[[#This Row],[max_score]]*100,"")</f>
        <v/>
      </c>
    </row>
    <row r="174" spans="1:14" x14ac:dyDescent="0.3">
      <c r="A174" t="str">
        <f>_xlfn.CONCAT(Table1[[#This Row],[year]],Table1[[#This Row],[semester]],Table1[[#This Row],[moed]],Table1[[#This Row],[question]],Table1[[#This Row],[section]])</f>
        <v>2016ba1-b</v>
      </c>
      <c r="B174">
        <v>2016</v>
      </c>
      <c r="C174" t="s">
        <v>8</v>
      </c>
      <c r="D174" t="s">
        <v>7</v>
      </c>
      <c r="E174" t="s">
        <v>161</v>
      </c>
      <c r="G174">
        <v>5</v>
      </c>
      <c r="H174" t="s">
        <v>468</v>
      </c>
      <c r="I174" t="s">
        <v>469</v>
      </c>
      <c r="M174" t="str">
        <f>IFERROR(Table1[[#This Row],[avg_score]]/Table1[[#This Row],[max_score]]*100,"")</f>
        <v/>
      </c>
      <c r="N174" t="str">
        <f>IFERROR(Table1[[#This Row],[std_score]]/Table1[[#This Row],[max_score]]*100,"")</f>
        <v/>
      </c>
    </row>
    <row r="175" spans="1:14" x14ac:dyDescent="0.3">
      <c r="A175" t="str">
        <f>_xlfn.CONCAT(Table1[[#This Row],[year]],Table1[[#This Row],[semester]],Table1[[#This Row],[moed]],Table1[[#This Row],[question]],Table1[[#This Row],[section]])</f>
        <v>2016ba2</v>
      </c>
      <c r="B175">
        <v>2016</v>
      </c>
      <c r="C175" t="s">
        <v>8</v>
      </c>
      <c r="D175" t="s">
        <v>7</v>
      </c>
      <c r="E175">
        <v>2</v>
      </c>
      <c r="G175">
        <v>15</v>
      </c>
      <c r="H175" t="s">
        <v>470</v>
      </c>
      <c r="I175" t="s">
        <v>471</v>
      </c>
      <c r="M175" t="str">
        <f>IFERROR(Table1[[#This Row],[avg_score]]/Table1[[#This Row],[max_score]]*100,"")</f>
        <v/>
      </c>
      <c r="N175" t="str">
        <f>IFERROR(Table1[[#This Row],[std_score]]/Table1[[#This Row],[max_score]]*100,"")</f>
        <v/>
      </c>
    </row>
    <row r="176" spans="1:14" x14ac:dyDescent="0.3">
      <c r="A176" t="str">
        <f>_xlfn.CONCAT(Table1[[#This Row],[year]],Table1[[#This Row],[semester]],Table1[[#This Row],[moed]],Table1[[#This Row],[question]],Table1[[#This Row],[section]])</f>
        <v>2016ba3-a</v>
      </c>
      <c r="B176">
        <v>2016</v>
      </c>
      <c r="C176" t="s">
        <v>8</v>
      </c>
      <c r="D176" t="s">
        <v>7</v>
      </c>
      <c r="E176" t="s">
        <v>169</v>
      </c>
      <c r="G176">
        <v>15</v>
      </c>
      <c r="H176" t="s">
        <v>472</v>
      </c>
      <c r="I176" t="s">
        <v>473</v>
      </c>
      <c r="M176" t="str">
        <f>IFERROR(Table1[[#This Row],[avg_score]]/Table1[[#This Row],[max_score]]*100,"")</f>
        <v/>
      </c>
      <c r="N176" t="str">
        <f>IFERROR(Table1[[#This Row],[std_score]]/Table1[[#This Row],[max_score]]*100,"")</f>
        <v/>
      </c>
    </row>
    <row r="177" spans="1:14" x14ac:dyDescent="0.3">
      <c r="A177" t="str">
        <f>_xlfn.CONCAT(Table1[[#This Row],[year]],Table1[[#This Row],[semester]],Table1[[#This Row],[moed]],Table1[[#This Row],[question]],Table1[[#This Row],[section]])</f>
        <v>2016ba3-b</v>
      </c>
      <c r="B177">
        <v>2016</v>
      </c>
      <c r="C177" t="s">
        <v>8</v>
      </c>
      <c r="D177" t="s">
        <v>7</v>
      </c>
      <c r="E177" t="s">
        <v>170</v>
      </c>
      <c r="G177">
        <v>15</v>
      </c>
      <c r="H177" t="s">
        <v>474</v>
      </c>
      <c r="I177" t="s">
        <v>475</v>
      </c>
      <c r="M177" t="str">
        <f>IFERROR(Table1[[#This Row],[avg_score]]/Table1[[#This Row],[max_score]]*100,"")</f>
        <v/>
      </c>
      <c r="N177" t="str">
        <f>IFERROR(Table1[[#This Row],[std_score]]/Table1[[#This Row],[max_score]]*100,"")</f>
        <v/>
      </c>
    </row>
    <row r="178" spans="1:14" x14ac:dyDescent="0.3">
      <c r="A178" t="str">
        <f>_xlfn.CONCAT(Table1[[#This Row],[year]],Table1[[#This Row],[semester]],Table1[[#This Row],[moed]],Table1[[#This Row],[question]],Table1[[#This Row],[section]])</f>
        <v>2016ba4</v>
      </c>
      <c r="B178">
        <v>2016</v>
      </c>
      <c r="C178" t="s">
        <v>8</v>
      </c>
      <c r="D178" t="s">
        <v>7</v>
      </c>
      <c r="E178">
        <v>4</v>
      </c>
      <c r="G178">
        <v>15</v>
      </c>
      <c r="H178" t="s">
        <v>476</v>
      </c>
      <c r="I178" t="s">
        <v>477</v>
      </c>
      <c r="M178" t="str">
        <f>IFERROR(Table1[[#This Row],[avg_score]]/Table1[[#This Row],[max_score]]*100,"")</f>
        <v/>
      </c>
      <c r="N178" t="str">
        <f>IFERROR(Table1[[#This Row],[std_score]]/Table1[[#This Row],[max_score]]*100,"")</f>
        <v/>
      </c>
    </row>
    <row r="179" spans="1:14" x14ac:dyDescent="0.3">
      <c r="A179" t="str">
        <f>_xlfn.CONCAT(Table1[[#This Row],[year]],Table1[[#This Row],[semester]],Table1[[#This Row],[moed]],Table1[[#This Row],[question]],Table1[[#This Row],[section]])</f>
        <v>2016ba5-a</v>
      </c>
      <c r="B179">
        <v>2016</v>
      </c>
      <c r="C179" t="s">
        <v>8</v>
      </c>
      <c r="D179" t="s">
        <v>7</v>
      </c>
      <c r="E179" t="s">
        <v>178</v>
      </c>
      <c r="H179" t="s">
        <v>478</v>
      </c>
      <c r="I179" t="s">
        <v>479</v>
      </c>
      <c r="M179" t="str">
        <f>IFERROR(Table1[[#This Row],[avg_score]]/Table1[[#This Row],[max_score]]*100,"")</f>
        <v/>
      </c>
      <c r="N179" t="str">
        <f>IFERROR(Table1[[#This Row],[std_score]]/Table1[[#This Row],[max_score]]*100,"")</f>
        <v/>
      </c>
    </row>
    <row r="180" spans="1:14" x14ac:dyDescent="0.3">
      <c r="A180" t="str">
        <f>_xlfn.CONCAT(Table1[[#This Row],[year]],Table1[[#This Row],[semester]],Table1[[#This Row],[moed]],Table1[[#This Row],[question]],Table1[[#This Row],[section]])</f>
        <v>2016ba5-b</v>
      </c>
      <c r="B180">
        <v>2016</v>
      </c>
      <c r="C180" t="s">
        <v>8</v>
      </c>
      <c r="D180" t="s">
        <v>7</v>
      </c>
      <c r="E180" t="s">
        <v>182</v>
      </c>
      <c r="H180" t="s">
        <v>480</v>
      </c>
      <c r="I180" t="s">
        <v>481</v>
      </c>
      <c r="M180" t="str">
        <f>IFERROR(Table1[[#This Row],[avg_score]]/Table1[[#This Row],[max_score]]*100,"")</f>
        <v/>
      </c>
      <c r="N180" t="str">
        <f>IFERROR(Table1[[#This Row],[std_score]]/Table1[[#This Row],[max_score]]*100,"")</f>
        <v/>
      </c>
    </row>
    <row r="181" spans="1:14" x14ac:dyDescent="0.3">
      <c r="A181" t="str">
        <f>_xlfn.CONCAT(Table1[[#This Row],[year]],Table1[[#This Row],[semester]],Table1[[#This Row],[moed]],Table1[[#This Row],[question]],Table1[[#This Row],[section]])</f>
        <v>2016ba6</v>
      </c>
      <c r="B181">
        <v>2016</v>
      </c>
      <c r="C181" t="s">
        <v>8</v>
      </c>
      <c r="D181" t="s">
        <v>7</v>
      </c>
      <c r="E181">
        <v>6</v>
      </c>
      <c r="G181">
        <v>15</v>
      </c>
      <c r="H181" t="s">
        <v>482</v>
      </c>
      <c r="I181" t="s">
        <v>483</v>
      </c>
      <c r="M181" t="str">
        <f>IFERROR(Table1[[#This Row],[avg_score]]/Table1[[#This Row],[max_score]]*100,"")</f>
        <v/>
      </c>
      <c r="N181" t="str">
        <f>IFERROR(Table1[[#This Row],[std_score]]/Table1[[#This Row],[max_score]]*100,"")</f>
        <v/>
      </c>
    </row>
    <row r="182" spans="1:14" x14ac:dyDescent="0.3">
      <c r="A182" t="str">
        <f>_xlfn.CONCAT(Table1[[#This Row],[year]],Table1[[#This Row],[semester]],Table1[[#This Row],[moed]],Table1[[#This Row],[question]],Table1[[#This Row],[section]])</f>
        <v>2017aa1-a</v>
      </c>
      <c r="B182">
        <v>2017</v>
      </c>
      <c r="C182" t="s">
        <v>7</v>
      </c>
      <c r="D182" t="s">
        <v>7</v>
      </c>
      <c r="E182" t="s">
        <v>160</v>
      </c>
      <c r="H182" t="s">
        <v>484</v>
      </c>
      <c r="I182" t="s">
        <v>485</v>
      </c>
      <c r="M182" t="str">
        <f>IFERROR(Table1[[#This Row],[avg_score]]/Table1[[#This Row],[max_score]]*100,"")</f>
        <v/>
      </c>
      <c r="N182" t="str">
        <f>IFERROR(Table1[[#This Row],[std_score]]/Table1[[#This Row],[max_score]]*100,"")</f>
        <v/>
      </c>
    </row>
    <row r="183" spans="1:14" x14ac:dyDescent="0.3">
      <c r="A183" t="str">
        <f>_xlfn.CONCAT(Table1[[#This Row],[year]],Table1[[#This Row],[semester]],Table1[[#This Row],[moed]],Table1[[#This Row],[question]],Table1[[#This Row],[section]])</f>
        <v>2017aa1-b</v>
      </c>
      <c r="B183">
        <v>2017</v>
      </c>
      <c r="C183" t="s">
        <v>7</v>
      </c>
      <c r="D183" t="s">
        <v>7</v>
      </c>
      <c r="E183" t="s">
        <v>161</v>
      </c>
      <c r="H183" t="s">
        <v>486</v>
      </c>
      <c r="I183" t="s">
        <v>487</v>
      </c>
      <c r="M183" t="str">
        <f>IFERROR(Table1[[#This Row],[avg_score]]/Table1[[#This Row],[max_score]]*100,"")</f>
        <v/>
      </c>
      <c r="N183" t="str">
        <f>IFERROR(Table1[[#This Row],[std_score]]/Table1[[#This Row],[max_score]]*100,"")</f>
        <v/>
      </c>
    </row>
    <row r="184" spans="1:14" x14ac:dyDescent="0.3">
      <c r="A184" t="str">
        <f>_xlfn.CONCAT(Table1[[#This Row],[year]],Table1[[#This Row],[semester]],Table1[[#This Row],[moed]],Table1[[#This Row],[question]],Table1[[#This Row],[section]])</f>
        <v>2017aa1-c</v>
      </c>
      <c r="B184">
        <v>2017</v>
      </c>
      <c r="C184" t="s">
        <v>7</v>
      </c>
      <c r="D184" t="s">
        <v>7</v>
      </c>
      <c r="E184" t="s">
        <v>162</v>
      </c>
      <c r="H184" t="s">
        <v>488</v>
      </c>
      <c r="I184" t="s">
        <v>489</v>
      </c>
      <c r="M184" t="str">
        <f>IFERROR(Table1[[#This Row],[avg_score]]/Table1[[#This Row],[max_score]]*100,"")</f>
        <v/>
      </c>
      <c r="N184" t="str">
        <f>IFERROR(Table1[[#This Row],[std_score]]/Table1[[#This Row],[max_score]]*100,"")</f>
        <v/>
      </c>
    </row>
    <row r="185" spans="1:14" x14ac:dyDescent="0.3">
      <c r="A185" t="str">
        <f>_xlfn.CONCAT(Table1[[#This Row],[year]],Table1[[#This Row],[semester]],Table1[[#This Row],[moed]],Table1[[#This Row],[question]],Table1[[#This Row],[section]])</f>
        <v>2017aa1-d</v>
      </c>
      <c r="B185">
        <v>2017</v>
      </c>
      <c r="C185" t="s">
        <v>7</v>
      </c>
      <c r="D185" t="s">
        <v>7</v>
      </c>
      <c r="E185" t="s">
        <v>163</v>
      </c>
      <c r="H185" t="s">
        <v>490</v>
      </c>
      <c r="I185" t="s">
        <v>491</v>
      </c>
      <c r="M185" t="str">
        <f>IFERROR(Table1[[#This Row],[avg_score]]/Table1[[#This Row],[max_score]]*100,"")</f>
        <v/>
      </c>
      <c r="N185" t="str">
        <f>IFERROR(Table1[[#This Row],[std_score]]/Table1[[#This Row],[max_score]]*100,"")</f>
        <v/>
      </c>
    </row>
    <row r="186" spans="1:14" x14ac:dyDescent="0.3">
      <c r="A186" t="str">
        <f>_xlfn.CONCAT(Table1[[#This Row],[year]],Table1[[#This Row],[semester]],Table1[[#This Row],[moed]],Table1[[#This Row],[question]],Table1[[#This Row],[section]])</f>
        <v>2017aa1-e</v>
      </c>
      <c r="B186">
        <v>2017</v>
      </c>
      <c r="C186" t="s">
        <v>7</v>
      </c>
      <c r="D186" t="s">
        <v>7</v>
      </c>
      <c r="E186" t="s">
        <v>164</v>
      </c>
      <c r="H186" t="s">
        <v>492</v>
      </c>
      <c r="I186" t="s">
        <v>493</v>
      </c>
      <c r="M186" t="str">
        <f>IFERROR(Table1[[#This Row],[avg_score]]/Table1[[#This Row],[max_score]]*100,"")</f>
        <v/>
      </c>
      <c r="N186" t="str">
        <f>IFERROR(Table1[[#This Row],[std_score]]/Table1[[#This Row],[max_score]]*100,"")</f>
        <v/>
      </c>
    </row>
    <row r="187" spans="1:14" x14ac:dyDescent="0.3">
      <c r="A187" t="str">
        <f>_xlfn.CONCAT(Table1[[#This Row],[year]],Table1[[#This Row],[semester]],Table1[[#This Row],[moed]],Table1[[#This Row],[question]],Table1[[#This Row],[section]])</f>
        <v>2017aa2-a</v>
      </c>
      <c r="B187">
        <v>2017</v>
      </c>
      <c r="C187" t="s">
        <v>7</v>
      </c>
      <c r="D187" t="s">
        <v>7</v>
      </c>
      <c r="E187" t="s">
        <v>165</v>
      </c>
      <c r="H187" t="s">
        <v>494</v>
      </c>
      <c r="I187" t="s">
        <v>495</v>
      </c>
      <c r="M187" t="str">
        <f>IFERROR(Table1[[#This Row],[avg_score]]/Table1[[#This Row],[max_score]]*100,"")</f>
        <v/>
      </c>
      <c r="N187" t="str">
        <f>IFERROR(Table1[[#This Row],[std_score]]/Table1[[#This Row],[max_score]]*100,"")</f>
        <v/>
      </c>
    </row>
    <row r="188" spans="1:14" x14ac:dyDescent="0.3">
      <c r="A188" t="str">
        <f>_xlfn.CONCAT(Table1[[#This Row],[year]],Table1[[#This Row],[semester]],Table1[[#This Row],[moed]],Table1[[#This Row],[question]],Table1[[#This Row],[section]])</f>
        <v>2017aa2-b</v>
      </c>
      <c r="B188">
        <v>2017</v>
      </c>
      <c r="C188" t="s">
        <v>7</v>
      </c>
      <c r="D188" t="s">
        <v>7</v>
      </c>
      <c r="E188" t="s">
        <v>166</v>
      </c>
      <c r="H188" t="s">
        <v>496</v>
      </c>
      <c r="I188" t="s">
        <v>497</v>
      </c>
      <c r="M188" t="str">
        <f>IFERROR(Table1[[#This Row],[avg_score]]/Table1[[#This Row],[max_score]]*100,"")</f>
        <v/>
      </c>
      <c r="N188" t="str">
        <f>IFERROR(Table1[[#This Row],[std_score]]/Table1[[#This Row],[max_score]]*100,"")</f>
        <v/>
      </c>
    </row>
    <row r="189" spans="1:14" x14ac:dyDescent="0.3">
      <c r="A189" t="str">
        <f>_xlfn.CONCAT(Table1[[#This Row],[year]],Table1[[#This Row],[semester]],Table1[[#This Row],[moed]],Table1[[#This Row],[question]],Table1[[#This Row],[section]])</f>
        <v>2017aa2-c</v>
      </c>
      <c r="B189">
        <v>2017</v>
      </c>
      <c r="C189" t="s">
        <v>7</v>
      </c>
      <c r="D189" t="s">
        <v>7</v>
      </c>
      <c r="E189" t="s">
        <v>167</v>
      </c>
      <c r="H189" t="s">
        <v>498</v>
      </c>
      <c r="I189" t="s">
        <v>499</v>
      </c>
      <c r="M189" t="str">
        <f>IFERROR(Table1[[#This Row],[avg_score]]/Table1[[#This Row],[max_score]]*100,"")</f>
        <v/>
      </c>
      <c r="N189" t="str">
        <f>IFERROR(Table1[[#This Row],[std_score]]/Table1[[#This Row],[max_score]]*100,"")</f>
        <v/>
      </c>
    </row>
    <row r="190" spans="1:14" x14ac:dyDescent="0.3">
      <c r="A190" t="str">
        <f>_xlfn.CONCAT(Table1[[#This Row],[year]],Table1[[#This Row],[semester]],Table1[[#This Row],[moed]],Table1[[#This Row],[question]],Table1[[#This Row],[section]])</f>
        <v>2017aa2-d</v>
      </c>
      <c r="B190">
        <v>2017</v>
      </c>
      <c r="C190" t="s">
        <v>7</v>
      </c>
      <c r="D190" t="s">
        <v>7</v>
      </c>
      <c r="E190" t="s">
        <v>168</v>
      </c>
      <c r="H190" t="s">
        <v>500</v>
      </c>
      <c r="I190" t="s">
        <v>501</v>
      </c>
      <c r="M190" t="str">
        <f>IFERROR(Table1[[#This Row],[avg_score]]/Table1[[#This Row],[max_score]]*100,"")</f>
        <v/>
      </c>
      <c r="N190" t="str">
        <f>IFERROR(Table1[[#This Row],[std_score]]/Table1[[#This Row],[max_score]]*100,"")</f>
        <v/>
      </c>
    </row>
    <row r="191" spans="1:14" x14ac:dyDescent="0.3">
      <c r="A191" t="str">
        <f>_xlfn.CONCAT(Table1[[#This Row],[year]],Table1[[#This Row],[semester]],Table1[[#This Row],[moed]],Table1[[#This Row],[question]],Table1[[#This Row],[section]])</f>
        <v>2017aa3-a</v>
      </c>
      <c r="B191">
        <v>2017</v>
      </c>
      <c r="C191" t="s">
        <v>7</v>
      </c>
      <c r="D191" t="s">
        <v>7</v>
      </c>
      <c r="E191" t="s">
        <v>169</v>
      </c>
      <c r="H191" t="s">
        <v>502</v>
      </c>
      <c r="I191" t="s">
        <v>503</v>
      </c>
      <c r="M191" t="str">
        <f>IFERROR(Table1[[#This Row],[avg_score]]/Table1[[#This Row],[max_score]]*100,"")</f>
        <v/>
      </c>
      <c r="N191" t="str">
        <f>IFERROR(Table1[[#This Row],[std_score]]/Table1[[#This Row],[max_score]]*100,"")</f>
        <v/>
      </c>
    </row>
    <row r="192" spans="1:14" x14ac:dyDescent="0.3">
      <c r="A192" t="str">
        <f>_xlfn.CONCAT(Table1[[#This Row],[year]],Table1[[#This Row],[semester]],Table1[[#This Row],[moed]],Table1[[#This Row],[question]],Table1[[#This Row],[section]])</f>
        <v>2017aa3-b</v>
      </c>
      <c r="B192">
        <v>2017</v>
      </c>
      <c r="C192" t="s">
        <v>7</v>
      </c>
      <c r="D192" t="s">
        <v>7</v>
      </c>
      <c r="E192" t="s">
        <v>170</v>
      </c>
      <c r="H192" t="s">
        <v>504</v>
      </c>
      <c r="I192" t="s">
        <v>505</v>
      </c>
      <c r="M192" t="str">
        <f>IFERROR(Table1[[#This Row],[avg_score]]/Table1[[#This Row],[max_score]]*100,"")</f>
        <v/>
      </c>
      <c r="N192" t="str">
        <f>IFERROR(Table1[[#This Row],[std_score]]/Table1[[#This Row],[max_score]]*100,"")</f>
        <v/>
      </c>
    </row>
    <row r="193" spans="1:14" x14ac:dyDescent="0.3">
      <c r="A193" t="str">
        <f>_xlfn.CONCAT(Table1[[#This Row],[year]],Table1[[#This Row],[semester]],Table1[[#This Row],[moed]],Table1[[#This Row],[question]],Table1[[#This Row],[section]])</f>
        <v>2017aa3-c</v>
      </c>
      <c r="B193">
        <v>2017</v>
      </c>
      <c r="C193" t="s">
        <v>7</v>
      </c>
      <c r="D193" t="s">
        <v>7</v>
      </c>
      <c r="E193" t="s">
        <v>171</v>
      </c>
      <c r="H193" t="s">
        <v>506</v>
      </c>
      <c r="I193" t="s">
        <v>507</v>
      </c>
      <c r="M193" t="str">
        <f>IFERROR(Table1[[#This Row],[avg_score]]/Table1[[#This Row],[max_score]]*100,"")</f>
        <v/>
      </c>
      <c r="N193" t="str">
        <f>IFERROR(Table1[[#This Row],[std_score]]/Table1[[#This Row],[max_score]]*100,"")</f>
        <v/>
      </c>
    </row>
    <row r="194" spans="1:14" x14ac:dyDescent="0.3">
      <c r="A194" t="str">
        <f>_xlfn.CONCAT(Table1[[#This Row],[year]],Table1[[#This Row],[semester]],Table1[[#This Row],[moed]],Table1[[#This Row],[question]],Table1[[#This Row],[section]])</f>
        <v>2017aa3-d</v>
      </c>
      <c r="B194">
        <v>2017</v>
      </c>
      <c r="C194" t="s">
        <v>7</v>
      </c>
      <c r="D194" t="s">
        <v>7</v>
      </c>
      <c r="E194" t="s">
        <v>172</v>
      </c>
      <c r="H194" t="s">
        <v>508</v>
      </c>
      <c r="I194" t="s">
        <v>509</v>
      </c>
      <c r="M194" t="str">
        <f>IFERROR(Table1[[#This Row],[avg_score]]/Table1[[#This Row],[max_score]]*100,"")</f>
        <v/>
      </c>
      <c r="N194" t="str">
        <f>IFERROR(Table1[[#This Row],[std_score]]/Table1[[#This Row],[max_score]]*100,"")</f>
        <v/>
      </c>
    </row>
    <row r="195" spans="1:14" x14ac:dyDescent="0.3">
      <c r="A195" t="str">
        <f>_xlfn.CONCAT(Table1[[#This Row],[year]],Table1[[#This Row],[semester]],Table1[[#This Row],[moed]],Table1[[#This Row],[question]],Table1[[#This Row],[section]])</f>
        <v>2017aa4-a</v>
      </c>
      <c r="B195">
        <v>2017</v>
      </c>
      <c r="C195" t="s">
        <v>7</v>
      </c>
      <c r="D195" t="s">
        <v>7</v>
      </c>
      <c r="E195" t="s">
        <v>173</v>
      </c>
      <c r="H195" t="s">
        <v>510</v>
      </c>
      <c r="I195" t="s">
        <v>511</v>
      </c>
      <c r="M195" t="str">
        <f>IFERROR(Table1[[#This Row],[avg_score]]/Table1[[#This Row],[max_score]]*100,"")</f>
        <v/>
      </c>
      <c r="N195" t="str">
        <f>IFERROR(Table1[[#This Row],[std_score]]/Table1[[#This Row],[max_score]]*100,"")</f>
        <v/>
      </c>
    </row>
    <row r="196" spans="1:14" x14ac:dyDescent="0.3">
      <c r="A196" t="str">
        <f>_xlfn.CONCAT(Table1[[#This Row],[year]],Table1[[#This Row],[semester]],Table1[[#This Row],[moed]],Table1[[#This Row],[question]],Table1[[#This Row],[section]])</f>
        <v>2017aa4-b</v>
      </c>
      <c r="B196">
        <v>2017</v>
      </c>
      <c r="C196" t="s">
        <v>7</v>
      </c>
      <c r="D196" t="s">
        <v>7</v>
      </c>
      <c r="E196" t="s">
        <v>174</v>
      </c>
      <c r="H196" t="s">
        <v>512</v>
      </c>
      <c r="I196" t="s">
        <v>513</v>
      </c>
      <c r="M196" t="str">
        <f>IFERROR(Table1[[#This Row],[avg_score]]/Table1[[#This Row],[max_score]]*100,"")</f>
        <v/>
      </c>
      <c r="N196" t="str">
        <f>IFERROR(Table1[[#This Row],[std_score]]/Table1[[#This Row],[max_score]]*100,"")</f>
        <v/>
      </c>
    </row>
    <row r="197" spans="1:14" x14ac:dyDescent="0.3">
      <c r="A197" t="str">
        <f>_xlfn.CONCAT(Table1[[#This Row],[year]],Table1[[#This Row],[semester]],Table1[[#This Row],[moed]],Table1[[#This Row],[question]],Table1[[#This Row],[section]])</f>
        <v>2017aa4-c</v>
      </c>
      <c r="B197">
        <v>2017</v>
      </c>
      <c r="C197" t="s">
        <v>7</v>
      </c>
      <c r="D197" t="s">
        <v>7</v>
      </c>
      <c r="E197" t="s">
        <v>175</v>
      </c>
      <c r="H197" t="s">
        <v>514</v>
      </c>
      <c r="I197" t="s">
        <v>515</v>
      </c>
      <c r="M197" t="str">
        <f>IFERROR(Table1[[#This Row],[avg_score]]/Table1[[#This Row],[max_score]]*100,"")</f>
        <v/>
      </c>
      <c r="N197" t="str">
        <f>IFERROR(Table1[[#This Row],[std_score]]/Table1[[#This Row],[max_score]]*100,"")</f>
        <v/>
      </c>
    </row>
    <row r="198" spans="1:14" x14ac:dyDescent="0.3">
      <c r="A198" t="str">
        <f>_xlfn.CONCAT(Table1[[#This Row],[year]],Table1[[#This Row],[semester]],Table1[[#This Row],[moed]],Table1[[#This Row],[question]],Table1[[#This Row],[section]])</f>
        <v>2017aa4-d</v>
      </c>
      <c r="B198">
        <v>2017</v>
      </c>
      <c r="C198" t="s">
        <v>7</v>
      </c>
      <c r="D198" t="s">
        <v>7</v>
      </c>
      <c r="E198" t="s">
        <v>176</v>
      </c>
      <c r="H198" t="s">
        <v>516</v>
      </c>
      <c r="I198" t="s">
        <v>517</v>
      </c>
      <c r="M198" t="str">
        <f>IFERROR(Table1[[#This Row],[avg_score]]/Table1[[#This Row],[max_score]]*100,"")</f>
        <v/>
      </c>
      <c r="N198" t="str">
        <f>IFERROR(Table1[[#This Row],[std_score]]/Table1[[#This Row],[max_score]]*100,"")</f>
        <v/>
      </c>
    </row>
    <row r="199" spans="1:14" x14ac:dyDescent="0.3">
      <c r="A199" t="str">
        <f>_xlfn.CONCAT(Table1[[#This Row],[year]],Table1[[#This Row],[semester]],Table1[[#This Row],[moed]],Table1[[#This Row],[question]],Table1[[#This Row],[section]])</f>
        <v>2018bb1-a</v>
      </c>
      <c r="B199">
        <v>2018</v>
      </c>
      <c r="C199" t="s">
        <v>8</v>
      </c>
      <c r="D199" t="s">
        <v>8</v>
      </c>
      <c r="E199" t="s">
        <v>160</v>
      </c>
      <c r="G199">
        <v>5</v>
      </c>
      <c r="H199" t="s">
        <v>663</v>
      </c>
      <c r="I199" t="s">
        <v>664</v>
      </c>
      <c r="M199" t="str">
        <f>IFERROR(Table1[[#This Row],[avg_score]]/Table1[[#This Row],[max_score]]*100,"")</f>
        <v/>
      </c>
      <c r="N199" t="str">
        <f>IFERROR(Table1[[#This Row],[std_score]]/Table1[[#This Row],[max_score]]*100,"")</f>
        <v/>
      </c>
    </row>
    <row r="200" spans="1:14" x14ac:dyDescent="0.3">
      <c r="A200" t="str">
        <f>_xlfn.CONCAT(Table1[[#This Row],[year]],Table1[[#This Row],[semester]],Table1[[#This Row],[moed]],Table1[[#This Row],[question]],Table1[[#This Row],[section]])</f>
        <v>2018bb1-b</v>
      </c>
      <c r="B200">
        <v>2018</v>
      </c>
      <c r="C200" t="s">
        <v>8</v>
      </c>
      <c r="D200" t="s">
        <v>8</v>
      </c>
      <c r="E200" t="s">
        <v>161</v>
      </c>
      <c r="G200">
        <v>5</v>
      </c>
      <c r="H200" t="s">
        <v>665</v>
      </c>
      <c r="I200" t="s">
        <v>666</v>
      </c>
      <c r="M200" t="str">
        <f>IFERROR(Table1[[#This Row],[avg_score]]/Table1[[#This Row],[max_score]]*100,"")</f>
        <v/>
      </c>
      <c r="N200" t="str">
        <f>IFERROR(Table1[[#This Row],[std_score]]/Table1[[#This Row],[max_score]]*100,"")</f>
        <v/>
      </c>
    </row>
    <row r="201" spans="1:14" x14ac:dyDescent="0.3">
      <c r="A201" t="str">
        <f>_xlfn.CONCAT(Table1[[#This Row],[year]],Table1[[#This Row],[semester]],Table1[[#This Row],[moed]],Table1[[#This Row],[question]],Table1[[#This Row],[section]])</f>
        <v>2018bb1-c</v>
      </c>
      <c r="B201">
        <v>2018</v>
      </c>
      <c r="C201" t="s">
        <v>8</v>
      </c>
      <c r="D201" t="s">
        <v>8</v>
      </c>
      <c r="E201" t="s">
        <v>162</v>
      </c>
      <c r="G201">
        <v>5</v>
      </c>
      <c r="H201" t="s">
        <v>667</v>
      </c>
      <c r="I201" t="s">
        <v>668</v>
      </c>
      <c r="M201" t="str">
        <f>IFERROR(Table1[[#This Row],[avg_score]]/Table1[[#This Row],[max_score]]*100,"")</f>
        <v/>
      </c>
      <c r="N201" t="str">
        <f>IFERROR(Table1[[#This Row],[std_score]]/Table1[[#This Row],[max_score]]*100,"")</f>
        <v/>
      </c>
    </row>
    <row r="202" spans="1:14" x14ac:dyDescent="0.3">
      <c r="A202" t="str">
        <f>_xlfn.CONCAT(Table1[[#This Row],[year]],Table1[[#This Row],[semester]],Table1[[#This Row],[moed]],Table1[[#This Row],[question]],Table1[[#This Row],[section]])</f>
        <v>2018bb1-d</v>
      </c>
      <c r="B202">
        <v>2018</v>
      </c>
      <c r="C202" t="s">
        <v>8</v>
      </c>
      <c r="D202" t="s">
        <v>8</v>
      </c>
      <c r="E202" t="s">
        <v>163</v>
      </c>
      <c r="G202">
        <v>5</v>
      </c>
      <c r="H202" t="s">
        <v>669</v>
      </c>
      <c r="I202" t="s">
        <v>670</v>
      </c>
      <c r="M202" t="str">
        <f>IFERROR(Table1[[#This Row],[avg_score]]/Table1[[#This Row],[max_score]]*100,"")</f>
        <v/>
      </c>
      <c r="N202" t="str">
        <f>IFERROR(Table1[[#This Row],[std_score]]/Table1[[#This Row],[max_score]]*100,"")</f>
        <v/>
      </c>
    </row>
    <row r="203" spans="1:14" x14ac:dyDescent="0.3">
      <c r="A203" t="str">
        <f>_xlfn.CONCAT(Table1[[#This Row],[year]],Table1[[#This Row],[semester]],Table1[[#This Row],[moed]],Table1[[#This Row],[question]],Table1[[#This Row],[section]])</f>
        <v>2018bb1-e</v>
      </c>
      <c r="B203">
        <v>2018</v>
      </c>
      <c r="C203" t="s">
        <v>8</v>
      </c>
      <c r="D203" t="s">
        <v>8</v>
      </c>
      <c r="E203" t="s">
        <v>164</v>
      </c>
      <c r="G203">
        <v>5</v>
      </c>
      <c r="H203" t="s">
        <v>671</v>
      </c>
      <c r="I203" t="s">
        <v>672</v>
      </c>
      <c r="M203" t="str">
        <f>IFERROR(Table1[[#This Row],[avg_score]]/Table1[[#This Row],[max_score]]*100,"")</f>
        <v/>
      </c>
      <c r="N203" t="str">
        <f>IFERROR(Table1[[#This Row],[std_score]]/Table1[[#This Row],[max_score]]*100,"")</f>
        <v/>
      </c>
    </row>
    <row r="204" spans="1:14" x14ac:dyDescent="0.3">
      <c r="A204" t="str">
        <f>_xlfn.CONCAT(Table1[[#This Row],[year]],Table1[[#This Row],[semester]],Table1[[#This Row],[moed]],Table1[[#This Row],[question]],Table1[[#This Row],[section]])</f>
        <v>2015ba1-a</v>
      </c>
      <c r="B204">
        <v>2015</v>
      </c>
      <c r="C204" t="s">
        <v>8</v>
      </c>
      <c r="D204" t="s">
        <v>7</v>
      </c>
      <c r="E204" t="s">
        <v>160</v>
      </c>
      <c r="G204">
        <v>8</v>
      </c>
      <c r="H204" t="s">
        <v>424</v>
      </c>
      <c r="I204" t="s">
        <v>425</v>
      </c>
      <c r="M204" t="str">
        <f>IFERROR(Table1[[#This Row],[avg_score]]/Table1[[#This Row],[max_score]]*100,"")</f>
        <v/>
      </c>
      <c r="N204" t="str">
        <f>IFERROR(Table1[[#This Row],[std_score]]/Table1[[#This Row],[max_score]]*100,"")</f>
        <v/>
      </c>
    </row>
    <row r="205" spans="1:14" x14ac:dyDescent="0.3">
      <c r="A205" t="str">
        <f>_xlfn.CONCAT(Table1[[#This Row],[year]],Table1[[#This Row],[semester]],Table1[[#This Row],[moed]],Table1[[#This Row],[question]],Table1[[#This Row],[section]])</f>
        <v>2015ba1-b</v>
      </c>
      <c r="B205">
        <v>2015</v>
      </c>
      <c r="C205" t="s">
        <v>8</v>
      </c>
      <c r="D205" t="s">
        <v>7</v>
      </c>
      <c r="E205" t="s">
        <v>161</v>
      </c>
      <c r="G205">
        <v>8</v>
      </c>
      <c r="H205" t="s">
        <v>426</v>
      </c>
      <c r="I205" t="s">
        <v>427</v>
      </c>
      <c r="M205" t="str">
        <f>IFERROR(Table1[[#This Row],[avg_score]]/Table1[[#This Row],[max_score]]*100,"")</f>
        <v/>
      </c>
      <c r="N205" t="str">
        <f>IFERROR(Table1[[#This Row],[std_score]]/Table1[[#This Row],[max_score]]*100,"")</f>
        <v/>
      </c>
    </row>
    <row r="206" spans="1:14" x14ac:dyDescent="0.3">
      <c r="A206" t="str">
        <f>_xlfn.CONCAT(Table1[[#This Row],[year]],Table1[[#This Row],[semester]],Table1[[#This Row],[moed]],Table1[[#This Row],[question]],Table1[[#This Row],[section]])</f>
        <v>2015ba1-c</v>
      </c>
      <c r="B206">
        <v>2015</v>
      </c>
      <c r="C206" t="s">
        <v>8</v>
      </c>
      <c r="D206" t="s">
        <v>7</v>
      </c>
      <c r="E206" t="s">
        <v>162</v>
      </c>
      <c r="G206">
        <v>8</v>
      </c>
      <c r="H206" t="s">
        <v>428</v>
      </c>
      <c r="I206" t="s">
        <v>429</v>
      </c>
      <c r="M206" t="str">
        <f>IFERROR(Table1[[#This Row],[avg_score]]/Table1[[#This Row],[max_score]]*100,"")</f>
        <v/>
      </c>
      <c r="N206" t="str">
        <f>IFERROR(Table1[[#This Row],[std_score]]/Table1[[#This Row],[max_score]]*100,"")</f>
        <v/>
      </c>
    </row>
    <row r="207" spans="1:14" x14ac:dyDescent="0.3">
      <c r="A207" t="str">
        <f>_xlfn.CONCAT(Table1[[#This Row],[year]],Table1[[#This Row],[semester]],Table1[[#This Row],[moed]],Table1[[#This Row],[question]],Table1[[#This Row],[section]])</f>
        <v>2015ba2-a</v>
      </c>
      <c r="B207">
        <v>2015</v>
      </c>
      <c r="C207" t="s">
        <v>8</v>
      </c>
      <c r="D207" t="s">
        <v>7</v>
      </c>
      <c r="E207" t="s">
        <v>165</v>
      </c>
      <c r="G207">
        <v>8</v>
      </c>
      <c r="H207" t="s">
        <v>430</v>
      </c>
      <c r="I207" t="s">
        <v>431</v>
      </c>
      <c r="M207" t="str">
        <f>IFERROR(Table1[[#This Row],[avg_score]]/Table1[[#This Row],[max_score]]*100,"")</f>
        <v/>
      </c>
      <c r="N207" t="str">
        <f>IFERROR(Table1[[#This Row],[std_score]]/Table1[[#This Row],[max_score]]*100,"")</f>
        <v/>
      </c>
    </row>
    <row r="208" spans="1:14" x14ac:dyDescent="0.3">
      <c r="A208" t="str">
        <f>_xlfn.CONCAT(Table1[[#This Row],[year]],Table1[[#This Row],[semester]],Table1[[#This Row],[moed]],Table1[[#This Row],[question]],Table1[[#This Row],[section]])</f>
        <v>2015ba2-b</v>
      </c>
      <c r="B208">
        <v>2015</v>
      </c>
      <c r="C208" t="s">
        <v>8</v>
      </c>
      <c r="D208" t="s">
        <v>7</v>
      </c>
      <c r="E208" t="s">
        <v>166</v>
      </c>
      <c r="G208">
        <v>8</v>
      </c>
      <c r="H208" t="s">
        <v>432</v>
      </c>
      <c r="I208" t="s">
        <v>433</v>
      </c>
      <c r="M208" t="str">
        <f>IFERROR(Table1[[#This Row],[avg_score]]/Table1[[#This Row],[max_score]]*100,"")</f>
        <v/>
      </c>
      <c r="N208" t="str">
        <f>IFERROR(Table1[[#This Row],[std_score]]/Table1[[#This Row],[max_score]]*100,"")</f>
        <v/>
      </c>
    </row>
    <row r="209" spans="1:14" x14ac:dyDescent="0.3">
      <c r="A209" t="str">
        <f>_xlfn.CONCAT(Table1[[#This Row],[year]],Table1[[#This Row],[semester]],Table1[[#This Row],[moed]],Table1[[#This Row],[question]],Table1[[#This Row],[section]])</f>
        <v>2015ba2-c</v>
      </c>
      <c r="B209">
        <v>2015</v>
      </c>
      <c r="C209" t="s">
        <v>8</v>
      </c>
      <c r="D209" t="s">
        <v>7</v>
      </c>
      <c r="E209" t="s">
        <v>167</v>
      </c>
      <c r="G209">
        <v>8</v>
      </c>
      <c r="H209" t="s">
        <v>434</v>
      </c>
      <c r="I209" t="s">
        <v>435</v>
      </c>
      <c r="M209" t="str">
        <f>IFERROR(Table1[[#This Row],[avg_score]]/Table1[[#This Row],[max_score]]*100,"")</f>
        <v/>
      </c>
      <c r="N209" t="str">
        <f>IFERROR(Table1[[#This Row],[std_score]]/Table1[[#This Row],[max_score]]*100,"")</f>
        <v/>
      </c>
    </row>
    <row r="210" spans="1:14" x14ac:dyDescent="0.3">
      <c r="A210" t="str">
        <f>_xlfn.CONCAT(Table1[[#This Row],[year]],Table1[[#This Row],[semester]],Table1[[#This Row],[moed]],Table1[[#This Row],[question]],Table1[[#This Row],[section]])</f>
        <v>2014bc2</v>
      </c>
      <c r="B210">
        <v>2014</v>
      </c>
      <c r="C210" t="s">
        <v>8</v>
      </c>
      <c r="D210" t="s">
        <v>9</v>
      </c>
      <c r="E210">
        <v>2</v>
      </c>
      <c r="G210">
        <v>5</v>
      </c>
      <c r="H210" t="s">
        <v>418</v>
      </c>
      <c r="I210" t="s">
        <v>419</v>
      </c>
      <c r="M210" t="str">
        <f>IFERROR(Table1[[#This Row],[avg_score]]/Table1[[#This Row],[max_score]]*100,"")</f>
        <v/>
      </c>
      <c r="N210" t="str">
        <f>IFERROR(Table1[[#This Row],[std_score]]/Table1[[#This Row],[max_score]]*100,"")</f>
        <v/>
      </c>
    </row>
    <row r="211" spans="1:14" x14ac:dyDescent="0.3">
      <c r="A211" t="str">
        <f>_xlfn.CONCAT(Table1[[#This Row],[year]],Table1[[#This Row],[semester]],Table1[[#This Row],[moed]],Table1[[#This Row],[question]],Table1[[#This Row],[section]])</f>
        <v>2014bc13</v>
      </c>
      <c r="B211">
        <v>2014</v>
      </c>
      <c r="C211" t="s">
        <v>8</v>
      </c>
      <c r="D211" t="s">
        <v>9</v>
      </c>
      <c r="E211">
        <v>13</v>
      </c>
      <c r="G211">
        <v>5</v>
      </c>
      <c r="H211" t="s">
        <v>420</v>
      </c>
      <c r="I211" t="s">
        <v>421</v>
      </c>
      <c r="M211" t="str">
        <f>IFERROR(Table1[[#This Row],[avg_score]]/Table1[[#This Row],[max_score]]*100,"")</f>
        <v/>
      </c>
      <c r="N211" t="str">
        <f>IFERROR(Table1[[#This Row],[std_score]]/Table1[[#This Row],[max_score]]*100,"")</f>
        <v/>
      </c>
    </row>
    <row r="212" spans="1:14" x14ac:dyDescent="0.3">
      <c r="A212" t="str">
        <f>_xlfn.CONCAT(Table1[[#This Row],[year]],Table1[[#This Row],[semester]],Table1[[#This Row],[moed]],Table1[[#This Row],[question]],Table1[[#This Row],[section]])</f>
        <v>2014bc14</v>
      </c>
      <c r="B212">
        <v>2014</v>
      </c>
      <c r="C212" t="s">
        <v>8</v>
      </c>
      <c r="D212" t="s">
        <v>9</v>
      </c>
      <c r="E212">
        <v>14</v>
      </c>
      <c r="G212">
        <v>5</v>
      </c>
      <c r="H212" t="s">
        <v>422</v>
      </c>
      <c r="I212" t="s">
        <v>423</v>
      </c>
      <c r="M212" t="str">
        <f>IFERROR(Table1[[#This Row],[avg_score]]/Table1[[#This Row],[max_score]]*100,"")</f>
        <v/>
      </c>
      <c r="N212" t="str">
        <f>IFERROR(Table1[[#This Row],[std_score]]/Table1[[#This Row],[max_score]]*100,"")</f>
        <v/>
      </c>
    </row>
    <row r="213" spans="1:14" x14ac:dyDescent="0.3">
      <c r="A213" t="str">
        <f>_xlfn.CONCAT(Table1[[#This Row],[year]],Table1[[#This Row],[semester]],Table1[[#This Row],[moed]],Table1[[#This Row],[question]],Table1[[#This Row],[section]])</f>
        <v>2018ba1-a</v>
      </c>
      <c r="B213">
        <v>2018</v>
      </c>
      <c r="C213" t="s">
        <v>8</v>
      </c>
      <c r="D213" t="s">
        <v>7</v>
      </c>
      <c r="E213" t="s">
        <v>160</v>
      </c>
      <c r="G213">
        <v>5</v>
      </c>
      <c r="H213" t="s">
        <v>645</v>
      </c>
      <c r="I213" t="s">
        <v>646</v>
      </c>
      <c r="M213" t="str">
        <f>IFERROR(Table1[[#This Row],[avg_score]]/Table1[[#This Row],[max_score]]*100,"")</f>
        <v/>
      </c>
      <c r="N213" t="str">
        <f>IFERROR(Table1[[#This Row],[std_score]]/Table1[[#This Row],[max_score]]*100,"")</f>
        <v/>
      </c>
    </row>
    <row r="214" spans="1:14" x14ac:dyDescent="0.3">
      <c r="A214" t="str">
        <f>_xlfn.CONCAT(Table1[[#This Row],[year]],Table1[[#This Row],[semester]],Table1[[#This Row],[moed]],Table1[[#This Row],[question]],Table1[[#This Row],[section]])</f>
        <v>2018ba1-b</v>
      </c>
      <c r="B214">
        <v>2018</v>
      </c>
      <c r="C214" t="s">
        <v>8</v>
      </c>
      <c r="D214" t="s">
        <v>7</v>
      </c>
      <c r="E214" t="s">
        <v>161</v>
      </c>
      <c r="G214">
        <v>5</v>
      </c>
      <c r="H214" t="s">
        <v>647</v>
      </c>
      <c r="I214" t="s">
        <v>648</v>
      </c>
      <c r="M214" t="str">
        <f>IFERROR(Table1[[#This Row],[avg_score]]/Table1[[#This Row],[max_score]]*100,"")</f>
        <v/>
      </c>
      <c r="N214" t="str">
        <f>IFERROR(Table1[[#This Row],[std_score]]/Table1[[#This Row],[max_score]]*100,"")</f>
        <v/>
      </c>
    </row>
    <row r="215" spans="1:14" x14ac:dyDescent="0.3">
      <c r="A215" t="str">
        <f>_xlfn.CONCAT(Table1[[#This Row],[year]],Table1[[#This Row],[semester]],Table1[[#This Row],[moed]],Table1[[#This Row],[question]],Table1[[#This Row],[section]])</f>
        <v>2018ba1-c</v>
      </c>
      <c r="B215">
        <v>2018</v>
      </c>
      <c r="C215" t="s">
        <v>8</v>
      </c>
      <c r="D215" t="s">
        <v>7</v>
      </c>
      <c r="E215" t="s">
        <v>162</v>
      </c>
      <c r="G215">
        <v>5</v>
      </c>
      <c r="H215" t="s">
        <v>649</v>
      </c>
      <c r="I215" t="s">
        <v>650</v>
      </c>
      <c r="M215" t="str">
        <f>IFERROR(Table1[[#This Row],[avg_score]]/Table1[[#This Row],[max_score]]*100,"")</f>
        <v/>
      </c>
      <c r="N215" t="str">
        <f>IFERROR(Table1[[#This Row],[std_score]]/Table1[[#This Row],[max_score]]*100,"")</f>
        <v/>
      </c>
    </row>
    <row r="216" spans="1:14" x14ac:dyDescent="0.3">
      <c r="A216" t="str">
        <f>_xlfn.CONCAT(Table1[[#This Row],[year]],Table1[[#This Row],[semester]],Table1[[#This Row],[moed]],Table1[[#This Row],[question]],Table1[[#This Row],[section]])</f>
        <v>2018ba1-d</v>
      </c>
      <c r="B216">
        <v>2018</v>
      </c>
      <c r="C216" t="s">
        <v>8</v>
      </c>
      <c r="D216" t="s">
        <v>7</v>
      </c>
      <c r="E216" t="s">
        <v>163</v>
      </c>
      <c r="G216">
        <v>5</v>
      </c>
      <c r="H216" t="s">
        <v>651</v>
      </c>
      <c r="I216" t="s">
        <v>652</v>
      </c>
      <c r="M216" t="str">
        <f>IFERROR(Table1[[#This Row],[avg_score]]/Table1[[#This Row],[max_score]]*100,"")</f>
        <v/>
      </c>
      <c r="N216" t="str">
        <f>IFERROR(Table1[[#This Row],[std_score]]/Table1[[#This Row],[max_score]]*100,"")</f>
        <v/>
      </c>
    </row>
    <row r="217" spans="1:14" x14ac:dyDescent="0.3">
      <c r="A217" t="str">
        <f>_xlfn.CONCAT(Table1[[#This Row],[year]],Table1[[#This Row],[semester]],Table1[[#This Row],[moed]],Table1[[#This Row],[question]],Table1[[#This Row],[section]])</f>
        <v>2018ba1-e</v>
      </c>
      <c r="B217">
        <v>2018</v>
      </c>
      <c r="C217" t="s">
        <v>8</v>
      </c>
      <c r="D217" t="s">
        <v>7</v>
      </c>
      <c r="E217" t="s">
        <v>164</v>
      </c>
      <c r="G217">
        <v>5</v>
      </c>
      <c r="H217" t="s">
        <v>653</v>
      </c>
      <c r="I217" t="s">
        <v>654</v>
      </c>
      <c r="M217" t="str">
        <f>IFERROR(Table1[[#This Row],[avg_score]]/Table1[[#This Row],[max_score]]*100,"")</f>
        <v/>
      </c>
      <c r="N217" t="str">
        <f>IFERROR(Table1[[#This Row],[std_score]]/Table1[[#This Row],[max_score]]*100,"")</f>
        <v/>
      </c>
    </row>
    <row r="218" spans="1:14" x14ac:dyDescent="0.3">
      <c r="A218" t="str">
        <f>_xlfn.CONCAT(Table1[[#This Row],[year]],Table1[[#This Row],[semester]],Table1[[#This Row],[moed]],Table1[[#This Row],[question]],Table1[[#This Row],[section]])</f>
        <v>2018ba2-b</v>
      </c>
      <c r="B218">
        <v>2018</v>
      </c>
      <c r="C218" t="s">
        <v>8</v>
      </c>
      <c r="D218" t="s">
        <v>7</v>
      </c>
      <c r="E218" t="s">
        <v>166</v>
      </c>
      <c r="G218">
        <v>5</v>
      </c>
      <c r="H218" t="s">
        <v>655</v>
      </c>
      <c r="I218" t="s">
        <v>656</v>
      </c>
      <c r="M218" t="str">
        <f>IFERROR(Table1[[#This Row],[avg_score]]/Table1[[#This Row],[max_score]]*100,"")</f>
        <v/>
      </c>
      <c r="N218" t="str">
        <f>IFERROR(Table1[[#This Row],[std_score]]/Table1[[#This Row],[max_score]]*100,"")</f>
        <v/>
      </c>
    </row>
    <row r="219" spans="1:14" x14ac:dyDescent="0.3">
      <c r="A219" t="str">
        <f>_xlfn.CONCAT(Table1[[#This Row],[year]],Table1[[#This Row],[semester]],Table1[[#This Row],[moed]],Table1[[#This Row],[question]],Table1[[#This Row],[section]])</f>
        <v>2018ba2-c</v>
      </c>
      <c r="B219">
        <v>2018</v>
      </c>
      <c r="C219" t="s">
        <v>8</v>
      </c>
      <c r="D219" t="s">
        <v>7</v>
      </c>
      <c r="E219" t="s">
        <v>167</v>
      </c>
      <c r="G219">
        <v>5</v>
      </c>
      <c r="H219" t="s">
        <v>657</v>
      </c>
      <c r="I219" t="s">
        <v>658</v>
      </c>
      <c r="M219" t="str">
        <f>IFERROR(Table1[[#This Row],[avg_score]]/Table1[[#This Row],[max_score]]*100,"")</f>
        <v/>
      </c>
      <c r="N219" t="str">
        <f>IFERROR(Table1[[#This Row],[std_score]]/Table1[[#This Row],[max_score]]*100,"")</f>
        <v/>
      </c>
    </row>
    <row r="220" spans="1:14" x14ac:dyDescent="0.3">
      <c r="A220" t="str">
        <f>_xlfn.CONCAT(Table1[[#This Row],[year]],Table1[[#This Row],[semester]],Table1[[#This Row],[moed]],Table1[[#This Row],[question]],Table1[[#This Row],[section]])</f>
        <v>2018ba2-d</v>
      </c>
      <c r="B220">
        <v>2018</v>
      </c>
      <c r="C220" t="s">
        <v>8</v>
      </c>
      <c r="D220" t="s">
        <v>7</v>
      </c>
      <c r="E220" t="s">
        <v>168</v>
      </c>
      <c r="G220">
        <v>5</v>
      </c>
      <c r="H220" t="s">
        <v>659</v>
      </c>
      <c r="I220" t="s">
        <v>660</v>
      </c>
      <c r="M220" t="str">
        <f>IFERROR(Table1[[#This Row],[avg_score]]/Table1[[#This Row],[max_score]]*100,"")</f>
        <v/>
      </c>
      <c r="N220" t="str">
        <f>IFERROR(Table1[[#This Row],[std_score]]/Table1[[#This Row],[max_score]]*100,"")</f>
        <v/>
      </c>
    </row>
    <row r="221" spans="1:14" x14ac:dyDescent="0.3">
      <c r="A221" t="str">
        <f>_xlfn.CONCAT(Table1[[#This Row],[year]],Table1[[#This Row],[semester]],Table1[[#This Row],[moed]],Table1[[#This Row],[question]],Table1[[#This Row],[section]])</f>
        <v>2018ba2-e</v>
      </c>
      <c r="B221">
        <v>2018</v>
      </c>
      <c r="C221" t="s">
        <v>8</v>
      </c>
      <c r="D221" t="s">
        <v>7</v>
      </c>
      <c r="E221" t="s">
        <v>209</v>
      </c>
      <c r="G221">
        <v>5</v>
      </c>
      <c r="H221" t="s">
        <v>661</v>
      </c>
      <c r="I221" t="s">
        <v>662</v>
      </c>
      <c r="M221" t="str">
        <f>IFERROR(Table1[[#This Row],[avg_score]]/Table1[[#This Row],[max_score]]*100,"")</f>
        <v/>
      </c>
      <c r="N221" t="str">
        <f>IFERROR(Table1[[#This Row],[std_score]]/Table1[[#This Row],[max_score]]*100,"")</f>
        <v/>
      </c>
    </row>
    <row r="222" spans="1:14" x14ac:dyDescent="0.3">
      <c r="A222" t="str">
        <f>_xlfn.CONCAT(Table1[[#This Row],[year]],Table1[[#This Row],[semester]],Table1[[#This Row],[moed]],Table1[[#This Row],[question]],Table1[[#This Row],[section]])</f>
        <v>2018ab1-a</v>
      </c>
      <c r="B222">
        <v>2018</v>
      </c>
      <c r="C222" t="s">
        <v>7</v>
      </c>
      <c r="D222" t="s">
        <v>8</v>
      </c>
      <c r="E222" t="s">
        <v>160</v>
      </c>
      <c r="G222">
        <v>3</v>
      </c>
      <c r="H222" t="s">
        <v>595</v>
      </c>
      <c r="I222" t="s">
        <v>596</v>
      </c>
      <c r="M222" t="str">
        <f>IFERROR(Table1[[#This Row],[avg_score]]/Table1[[#This Row],[max_score]]*100,"")</f>
        <v/>
      </c>
      <c r="N222" t="str">
        <f>IFERROR(Table1[[#This Row],[std_score]]/Table1[[#This Row],[max_score]]*100,"")</f>
        <v/>
      </c>
    </row>
    <row r="223" spans="1:14" x14ac:dyDescent="0.3">
      <c r="A223" t="str">
        <f>_xlfn.CONCAT(Table1[[#This Row],[year]],Table1[[#This Row],[semester]],Table1[[#This Row],[moed]],Table1[[#This Row],[question]],Table1[[#This Row],[section]])</f>
        <v>2018ab1-b</v>
      </c>
      <c r="B223">
        <v>2018</v>
      </c>
      <c r="C223" t="s">
        <v>7</v>
      </c>
      <c r="D223" t="s">
        <v>8</v>
      </c>
      <c r="E223" t="s">
        <v>161</v>
      </c>
      <c r="G223">
        <v>2</v>
      </c>
      <c r="H223" t="s">
        <v>597</v>
      </c>
      <c r="I223" t="s">
        <v>598</v>
      </c>
      <c r="M223" t="str">
        <f>IFERROR(Table1[[#This Row],[avg_score]]/Table1[[#This Row],[max_score]]*100,"")</f>
        <v/>
      </c>
      <c r="N223" t="str">
        <f>IFERROR(Table1[[#This Row],[std_score]]/Table1[[#This Row],[max_score]]*100,"")</f>
        <v/>
      </c>
    </row>
    <row r="224" spans="1:14" x14ac:dyDescent="0.3">
      <c r="A224" t="str">
        <f>_xlfn.CONCAT(Table1[[#This Row],[year]],Table1[[#This Row],[semester]],Table1[[#This Row],[moed]],Table1[[#This Row],[question]],Table1[[#This Row],[section]])</f>
        <v>2018ab1-c</v>
      </c>
      <c r="B224">
        <v>2018</v>
      </c>
      <c r="C224" t="s">
        <v>7</v>
      </c>
      <c r="D224" t="s">
        <v>8</v>
      </c>
      <c r="E224" t="s">
        <v>162</v>
      </c>
      <c r="G224">
        <v>3</v>
      </c>
      <c r="H224" t="s">
        <v>599</v>
      </c>
      <c r="I224" t="s">
        <v>600</v>
      </c>
      <c r="M224" t="str">
        <f>IFERROR(Table1[[#This Row],[avg_score]]/Table1[[#This Row],[max_score]]*100,"")</f>
        <v/>
      </c>
      <c r="N224" t="str">
        <f>IFERROR(Table1[[#This Row],[std_score]]/Table1[[#This Row],[max_score]]*100,"")</f>
        <v/>
      </c>
    </row>
    <row r="225" spans="1:14" x14ac:dyDescent="0.3">
      <c r="A225" t="str">
        <f>_xlfn.CONCAT(Table1[[#This Row],[year]],Table1[[#This Row],[semester]],Table1[[#This Row],[moed]],Table1[[#This Row],[question]],Table1[[#This Row],[section]])</f>
        <v>2018ab1-d</v>
      </c>
      <c r="B225">
        <v>2018</v>
      </c>
      <c r="C225" t="s">
        <v>7</v>
      </c>
      <c r="D225" t="s">
        <v>8</v>
      </c>
      <c r="E225" t="s">
        <v>163</v>
      </c>
      <c r="G225">
        <v>2</v>
      </c>
      <c r="H225" t="s">
        <v>601</v>
      </c>
      <c r="I225" t="s">
        <v>602</v>
      </c>
      <c r="M225" t="str">
        <f>IFERROR(Table1[[#This Row],[avg_score]]/Table1[[#This Row],[max_score]]*100,"")</f>
        <v/>
      </c>
      <c r="N225" t="str">
        <f>IFERROR(Table1[[#This Row],[std_score]]/Table1[[#This Row],[max_score]]*100,"")</f>
        <v/>
      </c>
    </row>
    <row r="226" spans="1:14" x14ac:dyDescent="0.3">
      <c r="A226" t="str">
        <f>_xlfn.CONCAT(Table1[[#This Row],[year]],Table1[[#This Row],[semester]],Table1[[#This Row],[moed]],Table1[[#This Row],[question]],Table1[[#This Row],[section]])</f>
        <v>2018ab1-e</v>
      </c>
      <c r="B226">
        <v>2018</v>
      </c>
      <c r="C226" t="s">
        <v>7</v>
      </c>
      <c r="D226" t="s">
        <v>8</v>
      </c>
      <c r="E226" t="s">
        <v>164</v>
      </c>
      <c r="G226">
        <v>5</v>
      </c>
      <c r="H226" t="s">
        <v>603</v>
      </c>
      <c r="I226" t="s">
        <v>604</v>
      </c>
      <c r="M226" t="str">
        <f>IFERROR(Table1[[#This Row],[avg_score]]/Table1[[#This Row],[max_score]]*100,"")</f>
        <v/>
      </c>
      <c r="N226" t="str">
        <f>IFERROR(Table1[[#This Row],[std_score]]/Table1[[#This Row],[max_score]]*100,"")</f>
        <v/>
      </c>
    </row>
    <row r="227" spans="1:14" x14ac:dyDescent="0.3">
      <c r="A227" t="str">
        <f>_xlfn.CONCAT(Table1[[#This Row],[year]],Table1[[#This Row],[semester]],Table1[[#This Row],[moed]],Table1[[#This Row],[question]],Table1[[#This Row],[section]])</f>
        <v>2018ab2-a</v>
      </c>
      <c r="B227">
        <v>2018</v>
      </c>
      <c r="C227" t="s">
        <v>7</v>
      </c>
      <c r="D227" t="s">
        <v>8</v>
      </c>
      <c r="E227" t="s">
        <v>165</v>
      </c>
      <c r="G227">
        <v>3</v>
      </c>
      <c r="H227" t="s">
        <v>605</v>
      </c>
      <c r="I227" t="s">
        <v>606</v>
      </c>
      <c r="M227" t="str">
        <f>IFERROR(Table1[[#This Row],[avg_score]]/Table1[[#This Row],[max_score]]*100,"")</f>
        <v/>
      </c>
      <c r="N227" t="str">
        <f>IFERROR(Table1[[#This Row],[std_score]]/Table1[[#This Row],[max_score]]*100,"")</f>
        <v/>
      </c>
    </row>
    <row r="228" spans="1:14" x14ac:dyDescent="0.3">
      <c r="A228" t="str">
        <f>_xlfn.CONCAT(Table1[[#This Row],[year]],Table1[[#This Row],[semester]],Table1[[#This Row],[moed]],Table1[[#This Row],[question]],Table1[[#This Row],[section]])</f>
        <v>2018ab2-b</v>
      </c>
      <c r="B228">
        <v>2018</v>
      </c>
      <c r="C228" t="s">
        <v>7</v>
      </c>
      <c r="D228" t="s">
        <v>8</v>
      </c>
      <c r="E228" t="s">
        <v>166</v>
      </c>
      <c r="G228">
        <v>2</v>
      </c>
      <c r="H228" t="s">
        <v>607</v>
      </c>
      <c r="I228" t="s">
        <v>608</v>
      </c>
      <c r="M228" t="str">
        <f>IFERROR(Table1[[#This Row],[avg_score]]/Table1[[#This Row],[max_score]]*100,"")</f>
        <v/>
      </c>
      <c r="N228" t="str">
        <f>IFERROR(Table1[[#This Row],[std_score]]/Table1[[#This Row],[max_score]]*100,"")</f>
        <v/>
      </c>
    </row>
    <row r="229" spans="1:14" x14ac:dyDescent="0.3">
      <c r="A229" t="str">
        <f>_xlfn.CONCAT(Table1[[#This Row],[year]],Table1[[#This Row],[semester]],Table1[[#This Row],[moed]],Table1[[#This Row],[question]],Table1[[#This Row],[section]])</f>
        <v>2018ab2-c</v>
      </c>
      <c r="B229">
        <v>2018</v>
      </c>
      <c r="C229" t="s">
        <v>7</v>
      </c>
      <c r="D229" t="s">
        <v>8</v>
      </c>
      <c r="E229" t="s">
        <v>167</v>
      </c>
      <c r="G229">
        <v>5</v>
      </c>
      <c r="H229" t="s">
        <v>609</v>
      </c>
      <c r="I229" t="s">
        <v>610</v>
      </c>
      <c r="M229" t="str">
        <f>IFERROR(Table1[[#This Row],[avg_score]]/Table1[[#This Row],[max_score]]*100,"")</f>
        <v/>
      </c>
      <c r="N229" t="str">
        <f>IFERROR(Table1[[#This Row],[std_score]]/Table1[[#This Row],[max_score]]*100,"")</f>
        <v/>
      </c>
    </row>
    <row r="230" spans="1:14" x14ac:dyDescent="0.3">
      <c r="A230" t="str">
        <f>_xlfn.CONCAT(Table1[[#This Row],[year]],Table1[[#This Row],[semester]],Table1[[#This Row],[moed]],Table1[[#This Row],[question]],Table1[[#This Row],[section]])</f>
        <v>2018ab3</v>
      </c>
      <c r="B230">
        <v>2018</v>
      </c>
      <c r="C230" t="s">
        <v>7</v>
      </c>
      <c r="D230" t="s">
        <v>8</v>
      </c>
      <c r="E230">
        <v>3</v>
      </c>
      <c r="G230">
        <v>7</v>
      </c>
      <c r="H230" t="s">
        <v>611</v>
      </c>
      <c r="I230" t="s">
        <v>612</v>
      </c>
      <c r="M230" t="str">
        <f>IFERROR(Table1[[#This Row],[avg_score]]/Table1[[#This Row],[max_score]]*100,"")</f>
        <v/>
      </c>
      <c r="N230" t="str">
        <f>IFERROR(Table1[[#This Row],[std_score]]/Table1[[#This Row],[max_score]]*100,"")</f>
        <v/>
      </c>
    </row>
    <row r="231" spans="1:14" x14ac:dyDescent="0.3">
      <c r="A231" t="str">
        <f>_xlfn.CONCAT(Table1[[#This Row],[year]],Table1[[#This Row],[semester]],Table1[[#This Row],[moed]],Table1[[#This Row],[question]],Table1[[#This Row],[section]])</f>
        <v>2018ab4-a</v>
      </c>
      <c r="B231">
        <v>2018</v>
      </c>
      <c r="C231" t="s">
        <v>7</v>
      </c>
      <c r="D231" t="s">
        <v>8</v>
      </c>
      <c r="E231" t="s">
        <v>173</v>
      </c>
      <c r="G231">
        <v>4</v>
      </c>
      <c r="H231" t="s">
        <v>613</v>
      </c>
      <c r="I231" t="s">
        <v>614</v>
      </c>
      <c r="M231" t="str">
        <f>IFERROR(Table1[[#This Row],[avg_score]]/Table1[[#This Row],[max_score]]*100,"")</f>
        <v/>
      </c>
      <c r="N231" t="str">
        <f>IFERROR(Table1[[#This Row],[std_score]]/Table1[[#This Row],[max_score]]*100,"")</f>
        <v/>
      </c>
    </row>
    <row r="232" spans="1:14" x14ac:dyDescent="0.3">
      <c r="A232" t="str">
        <f>_xlfn.CONCAT(Table1[[#This Row],[year]],Table1[[#This Row],[semester]],Table1[[#This Row],[moed]],Table1[[#This Row],[question]],Table1[[#This Row],[section]])</f>
        <v>2018ab4-b</v>
      </c>
      <c r="B232">
        <v>2018</v>
      </c>
      <c r="C232" t="s">
        <v>7</v>
      </c>
      <c r="D232" t="s">
        <v>8</v>
      </c>
      <c r="E232" t="s">
        <v>174</v>
      </c>
      <c r="G232">
        <v>2</v>
      </c>
      <c r="H232" t="s">
        <v>615</v>
      </c>
      <c r="I232" t="s">
        <v>616</v>
      </c>
      <c r="M232" t="str">
        <f>IFERROR(Table1[[#This Row],[avg_score]]/Table1[[#This Row],[max_score]]*100,"")</f>
        <v/>
      </c>
      <c r="N232" t="str">
        <f>IFERROR(Table1[[#This Row],[std_score]]/Table1[[#This Row],[max_score]]*100,"")</f>
        <v/>
      </c>
    </row>
    <row r="233" spans="1:14" x14ac:dyDescent="0.3">
      <c r="A233" t="str">
        <f>_xlfn.CONCAT(Table1[[#This Row],[year]],Table1[[#This Row],[semester]],Table1[[#This Row],[moed]],Table1[[#This Row],[question]],Table1[[#This Row],[section]])</f>
        <v>2018ab4-c</v>
      </c>
      <c r="B233">
        <v>2018</v>
      </c>
      <c r="C233" t="s">
        <v>7</v>
      </c>
      <c r="D233" t="s">
        <v>8</v>
      </c>
      <c r="E233" t="s">
        <v>175</v>
      </c>
      <c r="G233">
        <v>4</v>
      </c>
      <c r="H233" t="s">
        <v>617</v>
      </c>
      <c r="I233" t="s">
        <v>618</v>
      </c>
      <c r="M233" t="str">
        <f>IFERROR(Table1[[#This Row],[avg_score]]/Table1[[#This Row],[max_score]]*100,"")</f>
        <v/>
      </c>
      <c r="N233" t="str">
        <f>IFERROR(Table1[[#This Row],[std_score]]/Table1[[#This Row],[max_score]]*100,"")</f>
        <v/>
      </c>
    </row>
    <row r="234" spans="1:14" x14ac:dyDescent="0.3">
      <c r="A234" t="str">
        <f>_xlfn.CONCAT(Table1[[#This Row],[year]],Table1[[#This Row],[semester]],Table1[[#This Row],[moed]],Table1[[#This Row],[question]],Table1[[#This Row],[section]])</f>
        <v>2018ab5</v>
      </c>
      <c r="B234">
        <v>2018</v>
      </c>
      <c r="C234" t="s">
        <v>7</v>
      </c>
      <c r="D234" t="s">
        <v>8</v>
      </c>
      <c r="E234">
        <v>5</v>
      </c>
      <c r="G234">
        <v>9</v>
      </c>
      <c r="H234" t="s">
        <v>619</v>
      </c>
      <c r="I234" t="s">
        <v>620</v>
      </c>
      <c r="M234" t="str">
        <f>IFERROR(Table1[[#This Row],[avg_score]]/Table1[[#This Row],[max_score]]*100,"")</f>
        <v/>
      </c>
      <c r="N234" t="str">
        <f>IFERROR(Table1[[#This Row],[std_score]]/Table1[[#This Row],[max_score]]*100,"")</f>
        <v/>
      </c>
    </row>
    <row r="235" spans="1:14" x14ac:dyDescent="0.3">
      <c r="A235" t="str">
        <f>_xlfn.CONCAT(Table1[[#This Row],[year]],Table1[[#This Row],[semester]],Table1[[#This Row],[moed]],Table1[[#This Row],[question]],Table1[[#This Row],[section]])</f>
        <v>2018ab6-a</v>
      </c>
      <c r="B235">
        <v>2018</v>
      </c>
      <c r="C235" t="s">
        <v>7</v>
      </c>
      <c r="D235" t="s">
        <v>8</v>
      </c>
      <c r="E235" t="s">
        <v>197</v>
      </c>
      <c r="G235">
        <v>5</v>
      </c>
      <c r="H235" t="s">
        <v>621</v>
      </c>
      <c r="I235" t="s">
        <v>622</v>
      </c>
      <c r="M235" t="str">
        <f>IFERROR(Table1[[#This Row],[avg_score]]/Table1[[#This Row],[max_score]]*100,"")</f>
        <v/>
      </c>
      <c r="N235" t="str">
        <f>IFERROR(Table1[[#This Row],[std_score]]/Table1[[#This Row],[max_score]]*100,"")</f>
        <v/>
      </c>
    </row>
    <row r="236" spans="1:14" x14ac:dyDescent="0.3">
      <c r="A236" t="str">
        <f>_xlfn.CONCAT(Table1[[#This Row],[year]],Table1[[#This Row],[semester]],Table1[[#This Row],[moed]],Table1[[#This Row],[question]],Table1[[#This Row],[section]])</f>
        <v>2018ab6-b</v>
      </c>
      <c r="B236">
        <v>2018</v>
      </c>
      <c r="C236" t="s">
        <v>7</v>
      </c>
      <c r="D236" t="s">
        <v>8</v>
      </c>
      <c r="E236" t="s">
        <v>198</v>
      </c>
      <c r="G236">
        <v>5</v>
      </c>
      <c r="H236" t="s">
        <v>623</v>
      </c>
      <c r="I236" t="s">
        <v>624</v>
      </c>
      <c r="M236" t="str">
        <f>IFERROR(Table1[[#This Row],[avg_score]]/Table1[[#This Row],[max_score]]*100,"")</f>
        <v/>
      </c>
      <c r="N236" t="str">
        <f>IFERROR(Table1[[#This Row],[std_score]]/Table1[[#This Row],[max_score]]*100,"")</f>
        <v/>
      </c>
    </row>
    <row r="237" spans="1:14" x14ac:dyDescent="0.3">
      <c r="A237" t="str">
        <f>_xlfn.CONCAT(Table1[[#This Row],[year]],Table1[[#This Row],[semester]],Table1[[#This Row],[moed]],Table1[[#This Row],[question]],Table1[[#This Row],[section]])</f>
        <v>2018ab7-a</v>
      </c>
      <c r="B237">
        <v>2018</v>
      </c>
      <c r="C237" t="s">
        <v>7</v>
      </c>
      <c r="D237" t="s">
        <v>8</v>
      </c>
      <c r="E237" t="s">
        <v>199</v>
      </c>
      <c r="G237">
        <v>6</v>
      </c>
      <c r="H237" t="s">
        <v>625</v>
      </c>
      <c r="I237" t="s">
        <v>626</v>
      </c>
      <c r="M237" t="str">
        <f>IFERROR(Table1[[#This Row],[avg_score]]/Table1[[#This Row],[max_score]]*100,"")</f>
        <v/>
      </c>
      <c r="N237" t="str">
        <f>IFERROR(Table1[[#This Row],[std_score]]/Table1[[#This Row],[max_score]]*100,"")</f>
        <v/>
      </c>
    </row>
    <row r="238" spans="1:14" x14ac:dyDescent="0.3">
      <c r="A238" t="str">
        <f>_xlfn.CONCAT(Table1[[#This Row],[year]],Table1[[#This Row],[semester]],Table1[[#This Row],[moed]],Table1[[#This Row],[question]],Table1[[#This Row],[section]])</f>
        <v>2018ab7-b</v>
      </c>
      <c r="B238">
        <v>2018</v>
      </c>
      <c r="C238" t="s">
        <v>7</v>
      </c>
      <c r="D238" t="s">
        <v>8</v>
      </c>
      <c r="E238" t="s">
        <v>200</v>
      </c>
      <c r="G238">
        <v>6</v>
      </c>
      <c r="H238" t="s">
        <v>627</v>
      </c>
      <c r="I238" t="s">
        <v>628</v>
      </c>
      <c r="M238" t="str">
        <f>IFERROR(Table1[[#This Row],[avg_score]]/Table1[[#This Row],[max_score]]*100,"")</f>
        <v/>
      </c>
      <c r="N238" t="str">
        <f>IFERROR(Table1[[#This Row],[std_score]]/Table1[[#This Row],[max_score]]*100,"")</f>
        <v/>
      </c>
    </row>
    <row r="239" spans="1:14" x14ac:dyDescent="0.3">
      <c r="A239" t="str">
        <f>_xlfn.CONCAT(Table1[[#This Row],[year]],Table1[[#This Row],[semester]],Table1[[#This Row],[moed]],Table1[[#This Row],[question]],Table1[[#This Row],[section]])</f>
        <v>2018ab8-a</v>
      </c>
      <c r="B239">
        <v>2018</v>
      </c>
      <c r="C239" t="s">
        <v>7</v>
      </c>
      <c r="D239" t="s">
        <v>8</v>
      </c>
      <c r="E239" t="s">
        <v>201</v>
      </c>
      <c r="G239">
        <v>3</v>
      </c>
      <c r="H239" t="s">
        <v>629</v>
      </c>
      <c r="I239" t="s">
        <v>630</v>
      </c>
      <c r="M239" t="str">
        <f>IFERROR(Table1[[#This Row],[avg_score]]/Table1[[#This Row],[max_score]]*100,"")</f>
        <v/>
      </c>
      <c r="N239" t="str">
        <f>IFERROR(Table1[[#This Row],[std_score]]/Table1[[#This Row],[max_score]]*100,"")</f>
        <v/>
      </c>
    </row>
    <row r="240" spans="1:14" x14ac:dyDescent="0.3">
      <c r="A240" t="str">
        <f>_xlfn.CONCAT(Table1[[#This Row],[year]],Table1[[#This Row],[semester]],Table1[[#This Row],[moed]],Table1[[#This Row],[question]],Table1[[#This Row],[section]])</f>
        <v>2018ab8-b</v>
      </c>
      <c r="B240">
        <v>2018</v>
      </c>
      <c r="C240" t="s">
        <v>7</v>
      </c>
      <c r="D240" t="s">
        <v>8</v>
      </c>
      <c r="E240" t="s">
        <v>202</v>
      </c>
      <c r="G240">
        <v>3</v>
      </c>
      <c r="H240" t="s">
        <v>631</v>
      </c>
      <c r="I240" t="s">
        <v>632</v>
      </c>
      <c r="M240" t="str">
        <f>IFERROR(Table1[[#This Row],[avg_score]]/Table1[[#This Row],[max_score]]*100,"")</f>
        <v/>
      </c>
      <c r="N240" t="str">
        <f>IFERROR(Table1[[#This Row],[std_score]]/Table1[[#This Row],[max_score]]*100,"")</f>
        <v/>
      </c>
    </row>
    <row r="241" spans="1:14" x14ac:dyDescent="0.3">
      <c r="A241" t="str">
        <f>_xlfn.CONCAT(Table1[[#This Row],[year]],Table1[[#This Row],[semester]],Table1[[#This Row],[moed]],Table1[[#This Row],[question]],Table1[[#This Row],[section]])</f>
        <v>2018ab8-c</v>
      </c>
      <c r="B241">
        <v>2018</v>
      </c>
      <c r="C241" t="s">
        <v>7</v>
      </c>
      <c r="D241" t="s">
        <v>8</v>
      </c>
      <c r="E241" t="s">
        <v>203</v>
      </c>
      <c r="G241">
        <v>2</v>
      </c>
      <c r="H241" t="s">
        <v>633</v>
      </c>
      <c r="I241" t="s">
        <v>634</v>
      </c>
      <c r="M241" t="str">
        <f>IFERROR(Table1[[#This Row],[avg_score]]/Table1[[#This Row],[max_score]]*100,"")</f>
        <v/>
      </c>
      <c r="N241" t="str">
        <f>IFERROR(Table1[[#This Row],[std_score]]/Table1[[#This Row],[max_score]]*100,"")</f>
        <v/>
      </c>
    </row>
    <row r="242" spans="1:14" x14ac:dyDescent="0.3">
      <c r="A242" t="str">
        <f>_xlfn.CONCAT(Table1[[#This Row],[year]],Table1[[#This Row],[semester]],Table1[[#This Row],[moed]],Table1[[#This Row],[question]],Table1[[#This Row],[section]])</f>
        <v>2018ab8-d</v>
      </c>
      <c r="B242">
        <v>2018</v>
      </c>
      <c r="C242" t="s">
        <v>7</v>
      </c>
      <c r="D242" t="s">
        <v>8</v>
      </c>
      <c r="E242" t="s">
        <v>204</v>
      </c>
      <c r="G242">
        <v>2</v>
      </c>
      <c r="H242" t="s">
        <v>635</v>
      </c>
      <c r="I242" t="s">
        <v>636</v>
      </c>
      <c r="M242" t="str">
        <f>IFERROR(Table1[[#This Row],[avg_score]]/Table1[[#This Row],[max_score]]*100,"")</f>
        <v/>
      </c>
      <c r="N242" t="str">
        <f>IFERROR(Table1[[#This Row],[std_score]]/Table1[[#This Row],[max_score]]*100,"")</f>
        <v/>
      </c>
    </row>
    <row r="243" spans="1:14" x14ac:dyDescent="0.3">
      <c r="A243" t="str">
        <f>_xlfn.CONCAT(Table1[[#This Row],[year]],Table1[[#This Row],[semester]],Table1[[#This Row],[moed]],Table1[[#This Row],[question]],Table1[[#This Row],[section]])</f>
        <v>2018ab8-e</v>
      </c>
      <c r="B243">
        <v>2018</v>
      </c>
      <c r="C243" t="s">
        <v>7</v>
      </c>
      <c r="D243" t="s">
        <v>8</v>
      </c>
      <c r="E243" t="s">
        <v>205</v>
      </c>
      <c r="G243">
        <v>2</v>
      </c>
      <c r="H243" t="s">
        <v>637</v>
      </c>
      <c r="I243" t="s">
        <v>638</v>
      </c>
      <c r="M243" t="str">
        <f>IFERROR(Table1[[#This Row],[avg_score]]/Table1[[#This Row],[max_score]]*100,"")</f>
        <v/>
      </c>
      <c r="N243" t="str">
        <f>IFERROR(Table1[[#This Row],[std_score]]/Table1[[#This Row],[max_score]]*100,"")</f>
        <v/>
      </c>
    </row>
    <row r="244" spans="1:14" x14ac:dyDescent="0.3">
      <c r="A244" t="str">
        <f>_xlfn.CONCAT(Table1[[#This Row],[year]],Table1[[#This Row],[semester]],Table1[[#This Row],[moed]],Table1[[#This Row],[question]],Table1[[#This Row],[section]])</f>
        <v>2018ab9-a</v>
      </c>
      <c r="B244">
        <v>2018</v>
      </c>
      <c r="C244" t="s">
        <v>7</v>
      </c>
      <c r="D244" t="s">
        <v>8</v>
      </c>
      <c r="E244" t="s">
        <v>206</v>
      </c>
      <c r="G244">
        <v>3</v>
      </c>
      <c r="H244" t="s">
        <v>639</v>
      </c>
      <c r="I244" t="s">
        <v>640</v>
      </c>
      <c r="M244" t="str">
        <f>IFERROR(Table1[[#This Row],[avg_score]]/Table1[[#This Row],[max_score]]*100,"")</f>
        <v/>
      </c>
      <c r="N244" t="str">
        <f>IFERROR(Table1[[#This Row],[std_score]]/Table1[[#This Row],[max_score]]*100,"")</f>
        <v/>
      </c>
    </row>
    <row r="245" spans="1:14" x14ac:dyDescent="0.3">
      <c r="A245" t="str">
        <f>_xlfn.CONCAT(Table1[[#This Row],[year]],Table1[[#This Row],[semester]],Table1[[#This Row],[moed]],Table1[[#This Row],[question]],Table1[[#This Row],[section]])</f>
        <v>2018ab9-b</v>
      </c>
      <c r="B245">
        <v>2018</v>
      </c>
      <c r="C245" t="s">
        <v>7</v>
      </c>
      <c r="D245" t="s">
        <v>8</v>
      </c>
      <c r="E245" t="s">
        <v>207</v>
      </c>
      <c r="G245">
        <v>3</v>
      </c>
      <c r="H245" t="s">
        <v>641</v>
      </c>
      <c r="I245" t="s">
        <v>642</v>
      </c>
      <c r="M245" t="str">
        <f>IFERROR(Table1[[#This Row],[avg_score]]/Table1[[#This Row],[max_score]]*100,"")</f>
        <v/>
      </c>
      <c r="N245" t="str">
        <f>IFERROR(Table1[[#This Row],[std_score]]/Table1[[#This Row],[max_score]]*100,"")</f>
        <v/>
      </c>
    </row>
    <row r="246" spans="1:14" x14ac:dyDescent="0.3">
      <c r="A246" t="str">
        <f>_xlfn.CONCAT(Table1[[#This Row],[year]],Table1[[#This Row],[semester]],Table1[[#This Row],[moed]],Table1[[#This Row],[question]],Table1[[#This Row],[section]])</f>
        <v>2018ab9-c</v>
      </c>
      <c r="B246">
        <v>2018</v>
      </c>
      <c r="C246" t="s">
        <v>7</v>
      </c>
      <c r="D246" t="s">
        <v>8</v>
      </c>
      <c r="E246" t="s">
        <v>208</v>
      </c>
      <c r="G246">
        <v>3</v>
      </c>
      <c r="H246" t="s">
        <v>643</v>
      </c>
      <c r="I246" t="s">
        <v>644</v>
      </c>
      <c r="M246" t="str">
        <f>IFERROR(Table1[[#This Row],[avg_score]]/Table1[[#This Row],[max_score]]*100,"")</f>
        <v/>
      </c>
      <c r="N246" t="str">
        <f>IFERROR(Table1[[#This Row],[std_score]]/Table1[[#This Row],[max_score]]*100,"")</f>
        <v/>
      </c>
    </row>
    <row r="247" spans="1:14" x14ac:dyDescent="0.3">
      <c r="A247" t="str">
        <f>_xlfn.CONCAT(Table1[[#This Row],[year]],Table1[[#This Row],[semester]],Table1[[#This Row],[moed]],Table1[[#This Row],[question]],Table1[[#This Row],[section]])</f>
        <v>2018aa1</v>
      </c>
      <c r="B247">
        <v>2018</v>
      </c>
      <c r="C247" t="s">
        <v>7</v>
      </c>
      <c r="D247" t="s">
        <v>7</v>
      </c>
      <c r="E247">
        <v>1</v>
      </c>
      <c r="G247">
        <v>7</v>
      </c>
      <c r="H247" t="s">
        <v>546</v>
      </c>
      <c r="I247" t="s">
        <v>547</v>
      </c>
      <c r="M247" t="str">
        <f>IFERROR(Table1[[#This Row],[avg_score]]/Table1[[#This Row],[max_score]]*100,"")</f>
        <v/>
      </c>
      <c r="N247" t="str">
        <f>IFERROR(Table1[[#This Row],[std_score]]/Table1[[#This Row],[max_score]]*100,"")</f>
        <v/>
      </c>
    </row>
    <row r="248" spans="1:14" x14ac:dyDescent="0.3">
      <c r="A248" t="str">
        <f>_xlfn.CONCAT(Table1[[#This Row],[year]],Table1[[#This Row],[semester]],Table1[[#This Row],[moed]],Table1[[#This Row],[question]],Table1[[#This Row],[section]])</f>
        <v>2018aa2</v>
      </c>
      <c r="B248">
        <v>2018</v>
      </c>
      <c r="C248" t="s">
        <v>7</v>
      </c>
      <c r="D248" t="s">
        <v>7</v>
      </c>
      <c r="E248">
        <v>2</v>
      </c>
      <c r="G248">
        <v>5</v>
      </c>
      <c r="H248" t="s">
        <v>548</v>
      </c>
      <c r="I248" t="s">
        <v>549</v>
      </c>
      <c r="M248" t="str">
        <f>IFERROR(Table1[[#This Row],[avg_score]]/Table1[[#This Row],[max_score]]*100,"")</f>
        <v/>
      </c>
      <c r="N248" t="str">
        <f>IFERROR(Table1[[#This Row],[std_score]]/Table1[[#This Row],[max_score]]*100,"")</f>
        <v/>
      </c>
    </row>
    <row r="249" spans="1:14" x14ac:dyDescent="0.3">
      <c r="A249" t="str">
        <f>_xlfn.CONCAT(Table1[[#This Row],[year]],Table1[[#This Row],[semester]],Table1[[#This Row],[moed]],Table1[[#This Row],[question]],Table1[[#This Row],[section]])</f>
        <v>2018aa3</v>
      </c>
      <c r="B249">
        <v>2018</v>
      </c>
      <c r="C249" t="s">
        <v>7</v>
      </c>
      <c r="D249" t="s">
        <v>7</v>
      </c>
      <c r="E249">
        <v>3</v>
      </c>
      <c r="G249">
        <v>4</v>
      </c>
      <c r="H249" t="s">
        <v>550</v>
      </c>
      <c r="I249" t="s">
        <v>551</v>
      </c>
      <c r="M249" t="str">
        <f>IFERROR(Table1[[#This Row],[avg_score]]/Table1[[#This Row],[max_score]]*100,"")</f>
        <v/>
      </c>
      <c r="N249" t="str">
        <f>IFERROR(Table1[[#This Row],[std_score]]/Table1[[#This Row],[max_score]]*100,"")</f>
        <v/>
      </c>
    </row>
    <row r="250" spans="1:14" x14ac:dyDescent="0.3">
      <c r="A250" t="str">
        <f>_xlfn.CONCAT(Table1[[#This Row],[year]],Table1[[#This Row],[semester]],Table1[[#This Row],[moed]],Table1[[#This Row],[question]],Table1[[#This Row],[section]])</f>
        <v>2018aa4</v>
      </c>
      <c r="B250">
        <v>2018</v>
      </c>
      <c r="C250" t="s">
        <v>7</v>
      </c>
      <c r="D250" t="s">
        <v>7</v>
      </c>
      <c r="E250">
        <v>4</v>
      </c>
      <c r="G250">
        <v>5</v>
      </c>
      <c r="H250" t="s">
        <v>552</v>
      </c>
      <c r="I250" t="s">
        <v>553</v>
      </c>
      <c r="M250" t="str">
        <f>IFERROR(Table1[[#This Row],[avg_score]]/Table1[[#This Row],[max_score]]*100,"")</f>
        <v/>
      </c>
      <c r="N250" t="str">
        <f>IFERROR(Table1[[#This Row],[std_score]]/Table1[[#This Row],[max_score]]*100,"")</f>
        <v/>
      </c>
    </row>
    <row r="251" spans="1:14" x14ac:dyDescent="0.3">
      <c r="A251" t="str">
        <f>_xlfn.CONCAT(Table1[[#This Row],[year]],Table1[[#This Row],[semester]],Table1[[#This Row],[moed]],Table1[[#This Row],[question]],Table1[[#This Row],[section]])</f>
        <v>2018aa5</v>
      </c>
      <c r="B251">
        <v>2018</v>
      </c>
      <c r="C251" t="s">
        <v>7</v>
      </c>
      <c r="D251" t="s">
        <v>7</v>
      </c>
      <c r="E251">
        <v>5</v>
      </c>
      <c r="G251">
        <v>1.6</v>
      </c>
      <c r="H251" t="s">
        <v>554</v>
      </c>
      <c r="I251" t="s">
        <v>555</v>
      </c>
      <c r="M251" t="str">
        <f>IFERROR(Table1[[#This Row],[avg_score]]/Table1[[#This Row],[max_score]]*100,"")</f>
        <v/>
      </c>
      <c r="N251" t="str">
        <f>IFERROR(Table1[[#This Row],[std_score]]/Table1[[#This Row],[max_score]]*100,"")</f>
        <v/>
      </c>
    </row>
    <row r="252" spans="1:14" x14ac:dyDescent="0.3">
      <c r="A252" t="str">
        <f>_xlfn.CONCAT(Table1[[#This Row],[year]],Table1[[#This Row],[semester]],Table1[[#This Row],[moed]],Table1[[#This Row],[question]],Table1[[#This Row],[section]])</f>
        <v>2018aa6</v>
      </c>
      <c r="B252">
        <v>2018</v>
      </c>
      <c r="C252" t="s">
        <v>7</v>
      </c>
      <c r="D252" t="s">
        <v>7</v>
      </c>
      <c r="E252">
        <v>6</v>
      </c>
      <c r="G252">
        <v>1.6</v>
      </c>
      <c r="H252" t="s">
        <v>556</v>
      </c>
      <c r="I252" t="s">
        <v>557</v>
      </c>
      <c r="M252" t="str">
        <f>IFERROR(Table1[[#This Row],[avg_score]]/Table1[[#This Row],[max_score]]*100,"")</f>
        <v/>
      </c>
      <c r="N252" t="str">
        <f>IFERROR(Table1[[#This Row],[std_score]]/Table1[[#This Row],[max_score]]*100,"")</f>
        <v/>
      </c>
    </row>
    <row r="253" spans="1:14" x14ac:dyDescent="0.3">
      <c r="A253" t="str">
        <f>_xlfn.CONCAT(Table1[[#This Row],[year]],Table1[[#This Row],[semester]],Table1[[#This Row],[moed]],Table1[[#This Row],[question]],Table1[[#This Row],[section]])</f>
        <v>2018aa7</v>
      </c>
      <c r="B253">
        <v>2018</v>
      </c>
      <c r="C253" t="s">
        <v>7</v>
      </c>
      <c r="D253" t="s">
        <v>7</v>
      </c>
      <c r="E253">
        <v>7</v>
      </c>
      <c r="G253">
        <v>1.6</v>
      </c>
      <c r="H253" t="s">
        <v>558</v>
      </c>
      <c r="I253" t="s">
        <v>559</v>
      </c>
      <c r="M253" t="str">
        <f>IFERROR(Table1[[#This Row],[avg_score]]/Table1[[#This Row],[max_score]]*100,"")</f>
        <v/>
      </c>
      <c r="N253" t="str">
        <f>IFERROR(Table1[[#This Row],[std_score]]/Table1[[#This Row],[max_score]]*100,"")</f>
        <v/>
      </c>
    </row>
    <row r="254" spans="1:14" x14ac:dyDescent="0.3">
      <c r="A254" t="str">
        <f>_xlfn.CONCAT(Table1[[#This Row],[year]],Table1[[#This Row],[semester]],Table1[[#This Row],[moed]],Table1[[#This Row],[question]],Table1[[#This Row],[section]])</f>
        <v>2018aa8</v>
      </c>
      <c r="B254">
        <v>2018</v>
      </c>
      <c r="C254" t="s">
        <v>7</v>
      </c>
      <c r="D254" t="s">
        <v>7</v>
      </c>
      <c r="E254">
        <v>8</v>
      </c>
      <c r="G254">
        <v>1.6</v>
      </c>
      <c r="H254" t="s">
        <v>560</v>
      </c>
      <c r="I254" t="s">
        <v>555</v>
      </c>
      <c r="M254" t="str">
        <f>IFERROR(Table1[[#This Row],[avg_score]]/Table1[[#This Row],[max_score]]*100,"")</f>
        <v/>
      </c>
      <c r="N254" t="str">
        <f>IFERROR(Table1[[#This Row],[std_score]]/Table1[[#This Row],[max_score]]*100,"")</f>
        <v/>
      </c>
    </row>
    <row r="255" spans="1:14" x14ac:dyDescent="0.3">
      <c r="A255" t="str">
        <f>_xlfn.CONCAT(Table1[[#This Row],[year]],Table1[[#This Row],[semester]],Table1[[#This Row],[moed]],Table1[[#This Row],[question]],Table1[[#This Row],[section]])</f>
        <v>2018aa9</v>
      </c>
      <c r="B255">
        <v>2018</v>
      </c>
      <c r="C255" t="s">
        <v>7</v>
      </c>
      <c r="D255" t="s">
        <v>7</v>
      </c>
      <c r="E255">
        <v>9</v>
      </c>
      <c r="G255">
        <v>1.6</v>
      </c>
      <c r="H255" t="s">
        <v>561</v>
      </c>
      <c r="I255" t="s">
        <v>562</v>
      </c>
      <c r="M255" t="str">
        <f>IFERROR(Table1[[#This Row],[avg_score]]/Table1[[#This Row],[max_score]]*100,"")</f>
        <v/>
      </c>
      <c r="N255" t="str">
        <f>IFERROR(Table1[[#This Row],[std_score]]/Table1[[#This Row],[max_score]]*100,"")</f>
        <v/>
      </c>
    </row>
    <row r="256" spans="1:14" x14ac:dyDescent="0.3">
      <c r="A256" t="str">
        <f>_xlfn.CONCAT(Table1[[#This Row],[year]],Table1[[#This Row],[semester]],Table1[[#This Row],[moed]],Table1[[#This Row],[question]],Table1[[#This Row],[section]])</f>
        <v>2018aa10</v>
      </c>
      <c r="B256">
        <v>2018</v>
      </c>
      <c r="C256" t="s">
        <v>7</v>
      </c>
      <c r="D256" t="s">
        <v>7</v>
      </c>
      <c r="E256">
        <v>10</v>
      </c>
      <c r="G256">
        <v>2</v>
      </c>
      <c r="H256" t="s">
        <v>563</v>
      </c>
      <c r="I256" t="s">
        <v>564</v>
      </c>
      <c r="M256" t="str">
        <f>IFERROR(Table1[[#This Row],[avg_score]]/Table1[[#This Row],[max_score]]*100,"")</f>
        <v/>
      </c>
      <c r="N256" t="str">
        <f>IFERROR(Table1[[#This Row],[std_score]]/Table1[[#This Row],[max_score]]*100,"")</f>
        <v/>
      </c>
    </row>
    <row r="257" spans="1:14" x14ac:dyDescent="0.3">
      <c r="A257" t="str">
        <f>_xlfn.CONCAT(Table1[[#This Row],[year]],Table1[[#This Row],[semester]],Table1[[#This Row],[moed]],Table1[[#This Row],[question]],Table1[[#This Row],[section]])</f>
        <v>2018aa11</v>
      </c>
      <c r="B257">
        <v>2018</v>
      </c>
      <c r="C257" t="s">
        <v>7</v>
      </c>
      <c r="D257" t="s">
        <v>7</v>
      </c>
      <c r="E257">
        <v>11</v>
      </c>
      <c r="G257">
        <v>6</v>
      </c>
      <c r="H257" t="s">
        <v>565</v>
      </c>
      <c r="I257" t="s">
        <v>566</v>
      </c>
      <c r="M257" t="str">
        <f>IFERROR(Table1[[#This Row],[avg_score]]/Table1[[#This Row],[max_score]]*100,"")</f>
        <v/>
      </c>
      <c r="N257" t="str">
        <f>IFERROR(Table1[[#This Row],[std_score]]/Table1[[#This Row],[max_score]]*100,"")</f>
        <v/>
      </c>
    </row>
    <row r="258" spans="1:14" x14ac:dyDescent="0.3">
      <c r="A258" t="str">
        <f>_xlfn.CONCAT(Table1[[#This Row],[year]],Table1[[#This Row],[semester]],Table1[[#This Row],[moed]],Table1[[#This Row],[question]],Table1[[#This Row],[section]])</f>
        <v>2018aa13-a</v>
      </c>
      <c r="B258">
        <v>2018</v>
      </c>
      <c r="C258" t="s">
        <v>7</v>
      </c>
      <c r="D258" t="s">
        <v>7</v>
      </c>
      <c r="E258" t="s">
        <v>183</v>
      </c>
      <c r="G258">
        <v>4</v>
      </c>
      <c r="H258" t="s">
        <v>567</v>
      </c>
      <c r="I258" t="s">
        <v>568</v>
      </c>
      <c r="M258" t="str">
        <f>IFERROR(Table1[[#This Row],[avg_score]]/Table1[[#This Row],[max_score]]*100,"")</f>
        <v/>
      </c>
      <c r="N258" t="str">
        <f>IFERROR(Table1[[#This Row],[std_score]]/Table1[[#This Row],[max_score]]*100,"")</f>
        <v/>
      </c>
    </row>
    <row r="259" spans="1:14" x14ac:dyDescent="0.3">
      <c r="A259" t="str">
        <f>_xlfn.CONCAT(Table1[[#This Row],[year]],Table1[[#This Row],[semester]],Table1[[#This Row],[moed]],Table1[[#This Row],[question]],Table1[[#This Row],[section]])</f>
        <v>2018aa13-b</v>
      </c>
      <c r="B259">
        <v>2018</v>
      </c>
      <c r="C259" t="s">
        <v>7</v>
      </c>
      <c r="D259" t="s">
        <v>7</v>
      </c>
      <c r="E259" t="s">
        <v>184</v>
      </c>
      <c r="G259">
        <v>6</v>
      </c>
      <c r="H259" t="s">
        <v>569</v>
      </c>
      <c r="I259" t="s">
        <v>570</v>
      </c>
      <c r="M259" t="str">
        <f>IFERROR(Table1[[#This Row],[avg_score]]/Table1[[#This Row],[max_score]]*100,"")</f>
        <v/>
      </c>
      <c r="N259" t="str">
        <f>IFERROR(Table1[[#This Row],[std_score]]/Table1[[#This Row],[max_score]]*100,"")</f>
        <v/>
      </c>
    </row>
    <row r="260" spans="1:14" x14ac:dyDescent="0.3">
      <c r="A260" t="str">
        <f>_xlfn.CONCAT(Table1[[#This Row],[year]],Table1[[#This Row],[semester]],Table1[[#This Row],[moed]],Table1[[#This Row],[question]],Table1[[#This Row],[section]])</f>
        <v>2018aa14-a</v>
      </c>
      <c r="B260">
        <v>2018</v>
      </c>
      <c r="C260" t="s">
        <v>7</v>
      </c>
      <c r="D260" t="s">
        <v>7</v>
      </c>
      <c r="E260" t="s">
        <v>185</v>
      </c>
      <c r="G260">
        <v>4</v>
      </c>
      <c r="H260" t="s">
        <v>571</v>
      </c>
      <c r="I260" t="s">
        <v>572</v>
      </c>
      <c r="M260" t="str">
        <f>IFERROR(Table1[[#This Row],[avg_score]]/Table1[[#This Row],[max_score]]*100,"")</f>
        <v/>
      </c>
      <c r="N260" t="str">
        <f>IFERROR(Table1[[#This Row],[std_score]]/Table1[[#This Row],[max_score]]*100,"")</f>
        <v/>
      </c>
    </row>
    <row r="261" spans="1:14" x14ac:dyDescent="0.3">
      <c r="A261" t="str">
        <f>_xlfn.CONCAT(Table1[[#This Row],[year]],Table1[[#This Row],[semester]],Table1[[#This Row],[moed]],Table1[[#This Row],[question]],Table1[[#This Row],[section]])</f>
        <v>2018aa14-b</v>
      </c>
      <c r="B261">
        <v>2018</v>
      </c>
      <c r="C261" t="s">
        <v>7</v>
      </c>
      <c r="D261" t="s">
        <v>7</v>
      </c>
      <c r="E261" t="s">
        <v>186</v>
      </c>
      <c r="G261">
        <v>2</v>
      </c>
      <c r="H261" t="s">
        <v>573</v>
      </c>
      <c r="I261" t="s">
        <v>574</v>
      </c>
      <c r="M261" t="str">
        <f>IFERROR(Table1[[#This Row],[avg_score]]/Table1[[#This Row],[max_score]]*100,"")</f>
        <v/>
      </c>
      <c r="N261" t="str">
        <f>IFERROR(Table1[[#This Row],[std_score]]/Table1[[#This Row],[max_score]]*100,"")</f>
        <v/>
      </c>
    </row>
    <row r="262" spans="1:14" x14ac:dyDescent="0.3">
      <c r="A262" t="str">
        <f>_xlfn.CONCAT(Table1[[#This Row],[year]],Table1[[#This Row],[semester]],Table1[[#This Row],[moed]],Table1[[#This Row],[question]],Table1[[#This Row],[section]])</f>
        <v>2018aa14-c</v>
      </c>
      <c r="B262">
        <v>2018</v>
      </c>
      <c r="C262" t="s">
        <v>7</v>
      </c>
      <c r="D262" t="s">
        <v>7</v>
      </c>
      <c r="E262" t="s">
        <v>187</v>
      </c>
      <c r="G262">
        <v>2</v>
      </c>
      <c r="H262" t="s">
        <v>575</v>
      </c>
      <c r="I262" t="s">
        <v>576</v>
      </c>
      <c r="M262" t="str">
        <f>IFERROR(Table1[[#This Row],[avg_score]]/Table1[[#This Row],[max_score]]*100,"")</f>
        <v/>
      </c>
      <c r="N262" t="str">
        <f>IFERROR(Table1[[#This Row],[std_score]]/Table1[[#This Row],[max_score]]*100,"")</f>
        <v/>
      </c>
    </row>
    <row r="263" spans="1:14" x14ac:dyDescent="0.3">
      <c r="A263" t="str">
        <f>_xlfn.CONCAT(Table1[[#This Row],[year]],Table1[[#This Row],[semester]],Table1[[#This Row],[moed]],Table1[[#This Row],[question]],Table1[[#This Row],[section]])</f>
        <v>2018aa14-d</v>
      </c>
      <c r="B263">
        <v>2018</v>
      </c>
      <c r="C263" t="s">
        <v>7</v>
      </c>
      <c r="D263" t="s">
        <v>7</v>
      </c>
      <c r="E263" t="s">
        <v>188</v>
      </c>
      <c r="G263">
        <v>2</v>
      </c>
      <c r="H263" t="s">
        <v>577</v>
      </c>
      <c r="I263" t="s">
        <v>578</v>
      </c>
      <c r="M263" t="str">
        <f>IFERROR(Table1[[#This Row],[avg_score]]/Table1[[#This Row],[max_score]]*100,"")</f>
        <v/>
      </c>
      <c r="N263" t="str">
        <f>IFERROR(Table1[[#This Row],[std_score]]/Table1[[#This Row],[max_score]]*100,"")</f>
        <v/>
      </c>
    </row>
    <row r="264" spans="1:14" x14ac:dyDescent="0.3">
      <c r="A264" t="str">
        <f>_xlfn.CONCAT(Table1[[#This Row],[year]],Table1[[#This Row],[semester]],Table1[[#This Row],[moed]],Table1[[#This Row],[question]],Table1[[#This Row],[section]])</f>
        <v>2018aa14-e</v>
      </c>
      <c r="B264">
        <v>2018</v>
      </c>
      <c r="C264" t="s">
        <v>7</v>
      </c>
      <c r="D264" t="s">
        <v>7</v>
      </c>
      <c r="E264" t="s">
        <v>189</v>
      </c>
      <c r="G264">
        <v>4</v>
      </c>
      <c r="H264" t="s">
        <v>579</v>
      </c>
      <c r="I264" t="s">
        <v>580</v>
      </c>
      <c r="M264" t="str">
        <f>IFERROR(Table1[[#This Row],[avg_score]]/Table1[[#This Row],[max_score]]*100,"")</f>
        <v/>
      </c>
      <c r="N264" t="str">
        <f>IFERROR(Table1[[#This Row],[std_score]]/Table1[[#This Row],[max_score]]*100,"")</f>
        <v/>
      </c>
    </row>
    <row r="265" spans="1:14" x14ac:dyDescent="0.3">
      <c r="A265" t="str">
        <f>_xlfn.CONCAT(Table1[[#This Row],[year]],Table1[[#This Row],[semester]],Table1[[#This Row],[moed]],Table1[[#This Row],[question]],Table1[[#This Row],[section]])</f>
        <v>2018aa15-a</v>
      </c>
      <c r="B265">
        <v>2018</v>
      </c>
      <c r="C265" t="s">
        <v>7</v>
      </c>
      <c r="D265" t="s">
        <v>7</v>
      </c>
      <c r="E265" t="s">
        <v>190</v>
      </c>
      <c r="G265">
        <v>6</v>
      </c>
      <c r="H265" t="s">
        <v>581</v>
      </c>
      <c r="I265" t="s">
        <v>582</v>
      </c>
      <c r="M265" t="str">
        <f>IFERROR(Table1[[#This Row],[avg_score]]/Table1[[#This Row],[max_score]]*100,"")</f>
        <v/>
      </c>
      <c r="N265" t="str">
        <f>IFERROR(Table1[[#This Row],[std_score]]/Table1[[#This Row],[max_score]]*100,"")</f>
        <v/>
      </c>
    </row>
    <row r="266" spans="1:14" x14ac:dyDescent="0.3">
      <c r="A266" t="str">
        <f>_xlfn.CONCAT(Table1[[#This Row],[year]],Table1[[#This Row],[semester]],Table1[[#This Row],[moed]],Table1[[#This Row],[question]],Table1[[#This Row],[section]])</f>
        <v>2018aa15-b</v>
      </c>
      <c r="B266">
        <v>2018</v>
      </c>
      <c r="C266" t="s">
        <v>7</v>
      </c>
      <c r="D266" t="s">
        <v>7</v>
      </c>
      <c r="E266" t="s">
        <v>191</v>
      </c>
      <c r="G266">
        <v>2</v>
      </c>
      <c r="H266" t="s">
        <v>583</v>
      </c>
      <c r="I266" t="s">
        <v>584</v>
      </c>
      <c r="M266" t="str">
        <f>IFERROR(Table1[[#This Row],[avg_score]]/Table1[[#This Row],[max_score]]*100,"")</f>
        <v/>
      </c>
      <c r="N266" t="str">
        <f>IFERROR(Table1[[#This Row],[std_score]]/Table1[[#This Row],[max_score]]*100,"")</f>
        <v/>
      </c>
    </row>
    <row r="267" spans="1:14" x14ac:dyDescent="0.3">
      <c r="A267" t="str">
        <f>_xlfn.CONCAT(Table1[[#This Row],[year]],Table1[[#This Row],[semester]],Table1[[#This Row],[moed]],Table1[[#This Row],[question]],Table1[[#This Row],[section]])</f>
        <v>2018aa15-c</v>
      </c>
      <c r="B267">
        <v>2018</v>
      </c>
      <c r="C267" t="s">
        <v>7</v>
      </c>
      <c r="D267" t="s">
        <v>7</v>
      </c>
      <c r="E267" t="s">
        <v>192</v>
      </c>
      <c r="G267">
        <v>3</v>
      </c>
      <c r="H267" t="s">
        <v>585</v>
      </c>
      <c r="I267" t="s">
        <v>586</v>
      </c>
      <c r="M267" t="str">
        <f>IFERROR(Table1[[#This Row],[avg_score]]/Table1[[#This Row],[max_score]]*100,"")</f>
        <v/>
      </c>
      <c r="N267" t="str">
        <f>IFERROR(Table1[[#This Row],[std_score]]/Table1[[#This Row],[max_score]]*100,"")</f>
        <v/>
      </c>
    </row>
    <row r="268" spans="1:14" x14ac:dyDescent="0.3">
      <c r="A268" t="str">
        <f>_xlfn.CONCAT(Table1[[#This Row],[year]],Table1[[#This Row],[semester]],Table1[[#This Row],[moed]],Table1[[#This Row],[question]],Table1[[#This Row],[section]])</f>
        <v>2018aa15-d</v>
      </c>
      <c r="B268">
        <v>2018</v>
      </c>
      <c r="C268" t="s">
        <v>7</v>
      </c>
      <c r="D268" t="s">
        <v>7</v>
      </c>
      <c r="E268" t="s">
        <v>193</v>
      </c>
      <c r="G268">
        <v>7</v>
      </c>
      <c r="H268" t="s">
        <v>587</v>
      </c>
      <c r="I268" t="s">
        <v>588</v>
      </c>
      <c r="M268" t="str">
        <f>IFERROR(Table1[[#This Row],[avg_score]]/Table1[[#This Row],[max_score]]*100,"")</f>
        <v/>
      </c>
      <c r="N268" t="str">
        <f>IFERROR(Table1[[#This Row],[std_score]]/Table1[[#This Row],[max_score]]*100,"")</f>
        <v/>
      </c>
    </row>
    <row r="269" spans="1:14" x14ac:dyDescent="0.3">
      <c r="A269" t="str">
        <f>_xlfn.CONCAT(Table1[[#This Row],[year]],Table1[[#This Row],[semester]],Table1[[#This Row],[moed]],Table1[[#This Row],[question]],Table1[[#This Row],[section]])</f>
        <v>2018aa16-a</v>
      </c>
      <c r="B269">
        <v>2018</v>
      </c>
      <c r="C269" t="s">
        <v>7</v>
      </c>
      <c r="D269" t="s">
        <v>7</v>
      </c>
      <c r="E269" t="s">
        <v>194</v>
      </c>
      <c r="G269">
        <v>2</v>
      </c>
      <c r="H269" t="s">
        <v>589</v>
      </c>
      <c r="I269" t="s">
        <v>590</v>
      </c>
      <c r="M269" t="str">
        <f>IFERROR(Table1[[#This Row],[avg_score]]/Table1[[#This Row],[max_score]]*100,"")</f>
        <v/>
      </c>
      <c r="N269" t="str">
        <f>IFERROR(Table1[[#This Row],[std_score]]/Table1[[#This Row],[max_score]]*100,"")</f>
        <v/>
      </c>
    </row>
    <row r="270" spans="1:14" x14ac:dyDescent="0.3">
      <c r="A270" t="str">
        <f>_xlfn.CONCAT(Table1[[#This Row],[year]],Table1[[#This Row],[semester]],Table1[[#This Row],[moed]],Table1[[#This Row],[question]],Table1[[#This Row],[section]])</f>
        <v>2018aa16-b</v>
      </c>
      <c r="B270">
        <v>2018</v>
      </c>
      <c r="C270" t="s">
        <v>7</v>
      </c>
      <c r="D270" t="s">
        <v>7</v>
      </c>
      <c r="E270" t="s">
        <v>195</v>
      </c>
      <c r="G270">
        <v>2</v>
      </c>
      <c r="H270" t="s">
        <v>591</v>
      </c>
      <c r="I270" t="s">
        <v>592</v>
      </c>
      <c r="M270" t="str">
        <f>IFERROR(Table1[[#This Row],[avg_score]]/Table1[[#This Row],[max_score]]*100,"")</f>
        <v/>
      </c>
      <c r="N270" t="str">
        <f>IFERROR(Table1[[#This Row],[std_score]]/Table1[[#This Row],[max_score]]*100,"")</f>
        <v/>
      </c>
    </row>
    <row r="271" spans="1:14" x14ac:dyDescent="0.3">
      <c r="A271" t="str">
        <f>_xlfn.CONCAT(Table1[[#This Row],[year]],Table1[[#This Row],[semester]],Table1[[#This Row],[moed]],Table1[[#This Row],[question]],Table1[[#This Row],[section]])</f>
        <v>2018aa16-c</v>
      </c>
      <c r="B271">
        <v>2018</v>
      </c>
      <c r="C271" t="s">
        <v>7</v>
      </c>
      <c r="D271" t="s">
        <v>7</v>
      </c>
      <c r="E271" t="s">
        <v>196</v>
      </c>
      <c r="G271">
        <v>7</v>
      </c>
      <c r="H271" t="s">
        <v>593</v>
      </c>
      <c r="I271" t="s">
        <v>594</v>
      </c>
      <c r="M271" t="str">
        <f>IFERROR(Table1[[#This Row],[avg_score]]/Table1[[#This Row],[max_score]]*100,"")</f>
        <v/>
      </c>
      <c r="N271" t="str">
        <f>IFERROR(Table1[[#This Row],[std_score]]/Table1[[#This Row],[max_score]]*100,"")</f>
        <v/>
      </c>
    </row>
    <row r="272" spans="1:14" x14ac:dyDescent="0.3">
      <c r="A272" t="str">
        <f>_xlfn.CONCAT(Table1[[#This Row],[year]],Table1[[#This Row],[semester]],Table1[[#This Row],[moed]],Table1[[#This Row],[question]],Table1[[#This Row],[section]])</f>
        <v>2017ab1-a</v>
      </c>
      <c r="B272">
        <v>2017</v>
      </c>
      <c r="C272" t="s">
        <v>7</v>
      </c>
      <c r="D272" t="s">
        <v>8</v>
      </c>
      <c r="E272" t="s">
        <v>160</v>
      </c>
      <c r="G272">
        <v>6.25</v>
      </c>
      <c r="H272" t="s">
        <v>518</v>
      </c>
      <c r="I272" t="s">
        <v>519</v>
      </c>
      <c r="M272" t="str">
        <f>IFERROR(Table1[[#This Row],[avg_score]]/Table1[[#This Row],[max_score]]*100,"")</f>
        <v/>
      </c>
      <c r="N272" t="str">
        <f>IFERROR(Table1[[#This Row],[std_score]]/Table1[[#This Row],[max_score]]*100,"")</f>
        <v/>
      </c>
    </row>
    <row r="273" spans="1:14" x14ac:dyDescent="0.3">
      <c r="A273" t="str">
        <f>_xlfn.CONCAT(Table1[[#This Row],[year]],Table1[[#This Row],[semester]],Table1[[#This Row],[moed]],Table1[[#This Row],[question]],Table1[[#This Row],[section]])</f>
        <v>2017ab1-b</v>
      </c>
      <c r="B273">
        <v>2017</v>
      </c>
      <c r="C273" t="s">
        <v>7</v>
      </c>
      <c r="D273" t="s">
        <v>8</v>
      </c>
      <c r="E273" t="s">
        <v>161</v>
      </c>
      <c r="G273">
        <v>6.25</v>
      </c>
      <c r="H273" t="s">
        <v>520</v>
      </c>
      <c r="I273" t="s">
        <v>521</v>
      </c>
      <c r="M273" t="str">
        <f>IFERROR(Table1[[#This Row],[avg_score]]/Table1[[#This Row],[max_score]]*100,"")</f>
        <v/>
      </c>
      <c r="N273" t="str">
        <f>IFERROR(Table1[[#This Row],[std_score]]/Table1[[#This Row],[max_score]]*100,"")</f>
        <v/>
      </c>
    </row>
    <row r="274" spans="1:14" x14ac:dyDescent="0.3">
      <c r="A274" t="str">
        <f>_xlfn.CONCAT(Table1[[#This Row],[year]],Table1[[#This Row],[semester]],Table1[[#This Row],[moed]],Table1[[#This Row],[question]],Table1[[#This Row],[section]])</f>
        <v>2017ab1-c</v>
      </c>
      <c r="B274">
        <v>2017</v>
      </c>
      <c r="C274" t="s">
        <v>7</v>
      </c>
      <c r="D274" t="s">
        <v>8</v>
      </c>
      <c r="E274" t="s">
        <v>162</v>
      </c>
      <c r="G274">
        <v>6.25</v>
      </c>
      <c r="H274" t="s">
        <v>522</v>
      </c>
      <c r="I274" t="s">
        <v>523</v>
      </c>
      <c r="M274" t="str">
        <f>IFERROR(Table1[[#This Row],[avg_score]]/Table1[[#This Row],[max_score]]*100,"")</f>
        <v/>
      </c>
      <c r="N274" t="str">
        <f>IFERROR(Table1[[#This Row],[std_score]]/Table1[[#This Row],[max_score]]*100,"")</f>
        <v/>
      </c>
    </row>
    <row r="275" spans="1:14" x14ac:dyDescent="0.3">
      <c r="A275" t="str">
        <f>_xlfn.CONCAT(Table1[[#This Row],[year]],Table1[[#This Row],[semester]],Table1[[#This Row],[moed]],Table1[[#This Row],[question]],Table1[[#This Row],[section]])</f>
        <v>2017ab1-d</v>
      </c>
      <c r="B275">
        <v>2017</v>
      </c>
      <c r="C275" t="s">
        <v>7</v>
      </c>
      <c r="D275" t="s">
        <v>8</v>
      </c>
      <c r="E275" t="s">
        <v>163</v>
      </c>
      <c r="G275">
        <v>6.25</v>
      </c>
      <c r="H275" t="s">
        <v>524</v>
      </c>
      <c r="I275" t="s">
        <v>525</v>
      </c>
      <c r="M275" t="str">
        <f>IFERROR(Table1[[#This Row],[avg_score]]/Table1[[#This Row],[max_score]]*100,"")</f>
        <v/>
      </c>
      <c r="N275" t="str">
        <f>IFERROR(Table1[[#This Row],[std_score]]/Table1[[#This Row],[max_score]]*100,"")</f>
        <v/>
      </c>
    </row>
    <row r="276" spans="1:14" x14ac:dyDescent="0.3">
      <c r="A276" t="str">
        <f>_xlfn.CONCAT(Table1[[#This Row],[year]],Table1[[#This Row],[semester]],Table1[[#This Row],[moed]],Table1[[#This Row],[question]],Table1[[#This Row],[section]])</f>
        <v>2017ab2-a</v>
      </c>
      <c r="B276">
        <v>2017</v>
      </c>
      <c r="C276" t="s">
        <v>7</v>
      </c>
      <c r="D276" t="s">
        <v>8</v>
      </c>
      <c r="E276" t="s">
        <v>165</v>
      </c>
      <c r="G276">
        <v>6.25</v>
      </c>
      <c r="H276" t="s">
        <v>526</v>
      </c>
      <c r="I276" t="s">
        <v>527</v>
      </c>
      <c r="M276" t="str">
        <f>IFERROR(Table1[[#This Row],[avg_score]]/Table1[[#This Row],[max_score]]*100,"")</f>
        <v/>
      </c>
      <c r="N276" t="str">
        <f>IFERROR(Table1[[#This Row],[std_score]]/Table1[[#This Row],[max_score]]*100,"")</f>
        <v/>
      </c>
    </row>
    <row r="277" spans="1:14" x14ac:dyDescent="0.3">
      <c r="A277" t="str">
        <f>_xlfn.CONCAT(Table1[[#This Row],[year]],Table1[[#This Row],[semester]],Table1[[#This Row],[moed]],Table1[[#This Row],[question]],Table1[[#This Row],[section]])</f>
        <v>2017ab2-b</v>
      </c>
      <c r="B277">
        <v>2017</v>
      </c>
      <c r="C277" t="s">
        <v>7</v>
      </c>
      <c r="D277" t="s">
        <v>8</v>
      </c>
      <c r="E277" t="s">
        <v>166</v>
      </c>
      <c r="G277">
        <v>6.25</v>
      </c>
      <c r="H277" t="s">
        <v>528</v>
      </c>
      <c r="I277" t="s">
        <v>529</v>
      </c>
      <c r="M277" t="str">
        <f>IFERROR(Table1[[#This Row],[avg_score]]/Table1[[#This Row],[max_score]]*100,"")</f>
        <v/>
      </c>
      <c r="N277" t="str">
        <f>IFERROR(Table1[[#This Row],[std_score]]/Table1[[#This Row],[max_score]]*100,"")</f>
        <v/>
      </c>
    </row>
    <row r="278" spans="1:14" x14ac:dyDescent="0.3">
      <c r="A278" t="str">
        <f>_xlfn.CONCAT(Table1[[#This Row],[year]],Table1[[#This Row],[semester]],Table1[[#This Row],[moed]],Table1[[#This Row],[question]],Table1[[#This Row],[section]])</f>
        <v>2017ab2-c</v>
      </c>
      <c r="B278">
        <v>2017</v>
      </c>
      <c r="C278" t="s">
        <v>7</v>
      </c>
      <c r="D278" t="s">
        <v>8</v>
      </c>
      <c r="E278" t="s">
        <v>167</v>
      </c>
      <c r="G278">
        <v>6.25</v>
      </c>
      <c r="H278" t="s">
        <v>530</v>
      </c>
      <c r="I278" t="s">
        <v>531</v>
      </c>
      <c r="M278" t="str">
        <f>IFERROR(Table1[[#This Row],[avg_score]]/Table1[[#This Row],[max_score]]*100,"")</f>
        <v/>
      </c>
      <c r="N278" t="str">
        <f>IFERROR(Table1[[#This Row],[std_score]]/Table1[[#This Row],[max_score]]*100,"")</f>
        <v/>
      </c>
    </row>
    <row r="279" spans="1:14" x14ac:dyDescent="0.3">
      <c r="A279" t="str">
        <f>_xlfn.CONCAT(Table1[[#This Row],[year]],Table1[[#This Row],[semester]],Table1[[#This Row],[moed]],Table1[[#This Row],[question]],Table1[[#This Row],[section]])</f>
        <v>2017ab2-d</v>
      </c>
      <c r="B279">
        <v>2017</v>
      </c>
      <c r="C279" t="s">
        <v>7</v>
      </c>
      <c r="D279" t="s">
        <v>8</v>
      </c>
      <c r="E279" t="s">
        <v>168</v>
      </c>
      <c r="G279">
        <v>6.25</v>
      </c>
      <c r="H279" t="s">
        <v>532</v>
      </c>
      <c r="I279" t="s">
        <v>533</v>
      </c>
      <c r="M279" t="str">
        <f>IFERROR(Table1[[#This Row],[avg_score]]/Table1[[#This Row],[max_score]]*100,"")</f>
        <v/>
      </c>
      <c r="N279" t="str">
        <f>IFERROR(Table1[[#This Row],[std_score]]/Table1[[#This Row],[max_score]]*100,"")</f>
        <v/>
      </c>
    </row>
    <row r="280" spans="1:14" x14ac:dyDescent="0.3">
      <c r="A280" t="str">
        <f>_xlfn.CONCAT(Table1[[#This Row],[year]],Table1[[#This Row],[semester]],Table1[[#This Row],[moed]],Table1[[#This Row],[question]],Table1[[#This Row],[section]])</f>
        <v>2017ab3-a</v>
      </c>
      <c r="B280">
        <v>2017</v>
      </c>
      <c r="C280" t="s">
        <v>7</v>
      </c>
      <c r="D280" t="s">
        <v>8</v>
      </c>
      <c r="E280" t="s">
        <v>169</v>
      </c>
      <c r="G280">
        <v>6.25</v>
      </c>
      <c r="H280" t="s">
        <v>534</v>
      </c>
      <c r="I280" t="s">
        <v>535</v>
      </c>
      <c r="M280" t="str">
        <f>IFERROR(Table1[[#This Row],[avg_score]]/Table1[[#This Row],[max_score]]*100,"")</f>
        <v/>
      </c>
      <c r="N280" t="str">
        <f>IFERROR(Table1[[#This Row],[std_score]]/Table1[[#This Row],[max_score]]*100,"")</f>
        <v/>
      </c>
    </row>
    <row r="281" spans="1:14" x14ac:dyDescent="0.3">
      <c r="A281" t="str">
        <f>_xlfn.CONCAT(Table1[[#This Row],[year]],Table1[[#This Row],[semester]],Table1[[#This Row],[moed]],Table1[[#This Row],[question]],Table1[[#This Row],[section]])</f>
        <v>2017ab3-b</v>
      </c>
      <c r="B281">
        <v>2017</v>
      </c>
      <c r="C281" t="s">
        <v>7</v>
      </c>
      <c r="D281" t="s">
        <v>8</v>
      </c>
      <c r="E281" t="s">
        <v>170</v>
      </c>
      <c r="G281">
        <v>6.25</v>
      </c>
      <c r="H281" t="s">
        <v>536</v>
      </c>
      <c r="I281" t="s">
        <v>535</v>
      </c>
      <c r="M281" t="str">
        <f>IFERROR(Table1[[#This Row],[avg_score]]/Table1[[#This Row],[max_score]]*100,"")</f>
        <v/>
      </c>
      <c r="N281" t="str">
        <f>IFERROR(Table1[[#This Row],[std_score]]/Table1[[#This Row],[max_score]]*100,"")</f>
        <v/>
      </c>
    </row>
    <row r="282" spans="1:14" x14ac:dyDescent="0.3">
      <c r="A282" t="str">
        <f>_xlfn.CONCAT(Table1[[#This Row],[year]],Table1[[#This Row],[semester]],Table1[[#This Row],[moed]],Table1[[#This Row],[question]],Table1[[#This Row],[section]])</f>
        <v>2017ab3-c</v>
      </c>
      <c r="B282">
        <v>2017</v>
      </c>
      <c r="C282" t="s">
        <v>7</v>
      </c>
      <c r="D282" t="s">
        <v>8</v>
      </c>
      <c r="E282" t="s">
        <v>171</v>
      </c>
      <c r="G282">
        <v>6.25</v>
      </c>
      <c r="H282" t="s">
        <v>537</v>
      </c>
      <c r="I282" t="s">
        <v>538</v>
      </c>
      <c r="M282" t="str">
        <f>IFERROR(Table1[[#This Row],[avg_score]]/Table1[[#This Row],[max_score]]*100,"")</f>
        <v/>
      </c>
      <c r="N282" t="str">
        <f>IFERROR(Table1[[#This Row],[std_score]]/Table1[[#This Row],[max_score]]*100,"")</f>
        <v/>
      </c>
    </row>
    <row r="283" spans="1:14" x14ac:dyDescent="0.3">
      <c r="A283" t="str">
        <f>_xlfn.CONCAT(Table1[[#This Row],[year]],Table1[[#This Row],[semester]],Table1[[#This Row],[moed]],Table1[[#This Row],[question]],Table1[[#This Row],[section]])</f>
        <v>2017ab3-d</v>
      </c>
      <c r="B283">
        <v>2017</v>
      </c>
      <c r="C283" t="s">
        <v>7</v>
      </c>
      <c r="D283" t="s">
        <v>8</v>
      </c>
      <c r="E283" t="s">
        <v>172</v>
      </c>
      <c r="G283">
        <v>6.25</v>
      </c>
      <c r="H283" t="s">
        <v>539</v>
      </c>
      <c r="I283" t="s">
        <v>540</v>
      </c>
      <c r="M283" t="str">
        <f>IFERROR(Table1[[#This Row],[avg_score]]/Table1[[#This Row],[max_score]]*100,"")</f>
        <v/>
      </c>
      <c r="N283" t="str">
        <f>IFERROR(Table1[[#This Row],[std_score]]/Table1[[#This Row],[max_score]]*100,"")</f>
        <v/>
      </c>
    </row>
    <row r="284" spans="1:14" x14ac:dyDescent="0.3">
      <c r="A284" t="str">
        <f>_xlfn.CONCAT(Table1[[#This Row],[year]],Table1[[#This Row],[semester]],Table1[[#This Row],[moed]],Table1[[#This Row],[question]],Table1[[#This Row],[section]])</f>
        <v>2017ab4-a</v>
      </c>
      <c r="B284">
        <v>2017</v>
      </c>
      <c r="C284" t="s">
        <v>7</v>
      </c>
      <c r="D284" t="s">
        <v>8</v>
      </c>
      <c r="E284" t="s">
        <v>173</v>
      </c>
      <c r="G284">
        <v>8.3000000000000007</v>
      </c>
      <c r="H284" t="s">
        <v>541</v>
      </c>
      <c r="I284" t="s">
        <v>542</v>
      </c>
      <c r="M284" t="str">
        <f>IFERROR(Table1[[#This Row],[avg_score]]/Table1[[#This Row],[max_score]]*100,"")</f>
        <v/>
      </c>
      <c r="N284" t="str">
        <f>IFERROR(Table1[[#This Row],[std_score]]/Table1[[#This Row],[max_score]]*100,"")</f>
        <v/>
      </c>
    </row>
    <row r="285" spans="1:14" x14ac:dyDescent="0.3">
      <c r="A285" t="str">
        <f>_xlfn.CONCAT(Table1[[#This Row],[year]],Table1[[#This Row],[semester]],Table1[[#This Row],[moed]],Table1[[#This Row],[question]],Table1[[#This Row],[section]])</f>
        <v>2017ab4-b</v>
      </c>
      <c r="B285">
        <v>2017</v>
      </c>
      <c r="C285" t="s">
        <v>7</v>
      </c>
      <c r="D285" t="s">
        <v>8</v>
      </c>
      <c r="E285" t="s">
        <v>174</v>
      </c>
      <c r="G285">
        <v>8.3000000000000007</v>
      </c>
      <c r="H285" t="s">
        <v>543</v>
      </c>
      <c r="I285" t="s">
        <v>542</v>
      </c>
      <c r="M285" t="str">
        <f>IFERROR(Table1[[#This Row],[avg_score]]/Table1[[#This Row],[max_score]]*100,"")</f>
        <v/>
      </c>
      <c r="N285" t="str">
        <f>IFERROR(Table1[[#This Row],[std_score]]/Table1[[#This Row],[max_score]]*100,"")</f>
        <v/>
      </c>
    </row>
    <row r="286" spans="1:14" x14ac:dyDescent="0.3">
      <c r="A286" t="str">
        <f>_xlfn.CONCAT(Table1[[#This Row],[year]],Table1[[#This Row],[semester]],Table1[[#This Row],[moed]],Table1[[#This Row],[question]],Table1[[#This Row],[section]])</f>
        <v>2017ab4-c</v>
      </c>
      <c r="B286">
        <v>2017</v>
      </c>
      <c r="C286" t="s">
        <v>7</v>
      </c>
      <c r="D286" t="s">
        <v>8</v>
      </c>
      <c r="E286" t="s">
        <v>175</v>
      </c>
      <c r="G286">
        <v>8.3000000000000007</v>
      </c>
      <c r="H286" t="s">
        <v>544</v>
      </c>
      <c r="I286" t="s">
        <v>545</v>
      </c>
      <c r="M286" t="str">
        <f>IFERROR(Table1[[#This Row],[avg_score]]/Table1[[#This Row],[max_score]]*100,"")</f>
        <v/>
      </c>
      <c r="N286" t="str">
        <f>IFERROR(Table1[[#This Row],[std_score]]/Table1[[#This Row],[max_score]]*100,"")</f>
        <v/>
      </c>
    </row>
    <row r="287" spans="1:14" x14ac:dyDescent="0.3">
      <c r="A287" t="str">
        <f>_xlfn.CONCAT(Table1[[#This Row],[year]],Table1[[#This Row],[semester]],Table1[[#This Row],[moed]],Table1[[#This Row],[question]],Table1[[#This Row],[section]])</f>
        <v>2014ab1-a</v>
      </c>
      <c r="B287">
        <v>2014</v>
      </c>
      <c r="C287" t="s">
        <v>7</v>
      </c>
      <c r="D287" t="s">
        <v>8</v>
      </c>
      <c r="E287" t="s">
        <v>160</v>
      </c>
      <c r="H287" t="s">
        <v>394</v>
      </c>
      <c r="I287" t="s">
        <v>395</v>
      </c>
      <c r="M287" t="str">
        <f>IFERROR(Table1[[#This Row],[avg_score]]/Table1[[#This Row],[max_score]]*100,"")</f>
        <v/>
      </c>
      <c r="N287" t="str">
        <f>IFERROR(Table1[[#This Row],[std_score]]/Table1[[#This Row],[max_score]]*100,"")</f>
        <v/>
      </c>
    </row>
    <row r="288" spans="1:14" x14ac:dyDescent="0.3">
      <c r="A288" t="str">
        <f>_xlfn.CONCAT(Table1[[#This Row],[year]],Table1[[#This Row],[semester]],Table1[[#This Row],[moed]],Table1[[#This Row],[question]],Table1[[#This Row],[section]])</f>
        <v>2014ab1-b</v>
      </c>
      <c r="B288">
        <v>2014</v>
      </c>
      <c r="C288" t="s">
        <v>7</v>
      </c>
      <c r="D288" t="s">
        <v>8</v>
      </c>
      <c r="E288" t="s">
        <v>161</v>
      </c>
      <c r="H288" t="s">
        <v>396</v>
      </c>
      <c r="I288" t="s">
        <v>397</v>
      </c>
      <c r="M288" t="str">
        <f>IFERROR(Table1[[#This Row],[avg_score]]/Table1[[#This Row],[max_score]]*100,"")</f>
        <v/>
      </c>
      <c r="N288" t="str">
        <f>IFERROR(Table1[[#This Row],[std_score]]/Table1[[#This Row],[max_score]]*100,"")</f>
        <v/>
      </c>
    </row>
    <row r="289" spans="1:14" x14ac:dyDescent="0.3">
      <c r="A289" t="str">
        <f>_xlfn.CONCAT(Table1[[#This Row],[year]],Table1[[#This Row],[semester]],Table1[[#This Row],[moed]],Table1[[#This Row],[question]],Table1[[#This Row],[section]])</f>
        <v>2014ab1-c</v>
      </c>
      <c r="B289">
        <v>2014</v>
      </c>
      <c r="C289" t="s">
        <v>7</v>
      </c>
      <c r="D289" t="s">
        <v>8</v>
      </c>
      <c r="E289" t="s">
        <v>162</v>
      </c>
      <c r="H289" t="s">
        <v>398</v>
      </c>
      <c r="I289" t="s">
        <v>399</v>
      </c>
      <c r="M289" t="str">
        <f>IFERROR(Table1[[#This Row],[avg_score]]/Table1[[#This Row],[max_score]]*100,"")</f>
        <v/>
      </c>
      <c r="N289" t="str">
        <f>IFERROR(Table1[[#This Row],[std_score]]/Table1[[#This Row],[max_score]]*100,"")</f>
        <v/>
      </c>
    </row>
    <row r="290" spans="1:14" x14ac:dyDescent="0.3">
      <c r="A290" t="str">
        <f>_xlfn.CONCAT(Table1[[#This Row],[year]],Table1[[#This Row],[semester]],Table1[[#This Row],[moed]],Table1[[#This Row],[question]],Table1[[#This Row],[section]])</f>
        <v>2014ab1-d</v>
      </c>
      <c r="B290">
        <v>2014</v>
      </c>
      <c r="C290" t="s">
        <v>7</v>
      </c>
      <c r="D290" t="s">
        <v>8</v>
      </c>
      <c r="E290" t="s">
        <v>163</v>
      </c>
      <c r="H290" t="s">
        <v>400</v>
      </c>
      <c r="I290" t="s">
        <v>401</v>
      </c>
      <c r="M290" t="str">
        <f>IFERROR(Table1[[#This Row],[avg_score]]/Table1[[#This Row],[max_score]]*100,"")</f>
        <v/>
      </c>
      <c r="N290" t="str">
        <f>IFERROR(Table1[[#This Row],[std_score]]/Table1[[#This Row],[max_score]]*100,"")</f>
        <v/>
      </c>
    </row>
    <row r="291" spans="1:14" x14ac:dyDescent="0.3">
      <c r="A291" t="str">
        <f>_xlfn.CONCAT(Table1[[#This Row],[year]],Table1[[#This Row],[semester]],Table1[[#This Row],[moed]],Table1[[#This Row],[question]],Table1[[#This Row],[section]])</f>
        <v>2014ab2-a</v>
      </c>
      <c r="B291">
        <v>2014</v>
      </c>
      <c r="C291" t="s">
        <v>7</v>
      </c>
      <c r="D291" t="s">
        <v>8</v>
      </c>
      <c r="E291" t="s">
        <v>165</v>
      </c>
      <c r="H291" t="s">
        <v>402</v>
      </c>
      <c r="I291" t="s">
        <v>403</v>
      </c>
      <c r="M291" t="str">
        <f>IFERROR(Table1[[#This Row],[avg_score]]/Table1[[#This Row],[max_score]]*100,"")</f>
        <v/>
      </c>
      <c r="N291" t="str">
        <f>IFERROR(Table1[[#This Row],[std_score]]/Table1[[#This Row],[max_score]]*100,"")</f>
        <v/>
      </c>
    </row>
    <row r="292" spans="1:14" x14ac:dyDescent="0.3">
      <c r="A292" t="str">
        <f>_xlfn.CONCAT(Table1[[#This Row],[year]],Table1[[#This Row],[semester]],Table1[[#This Row],[moed]],Table1[[#This Row],[question]],Table1[[#This Row],[section]])</f>
        <v>2014ab2-b</v>
      </c>
      <c r="B292">
        <v>2014</v>
      </c>
      <c r="C292" t="s">
        <v>7</v>
      </c>
      <c r="D292" t="s">
        <v>8</v>
      </c>
      <c r="E292" t="s">
        <v>166</v>
      </c>
      <c r="H292" t="s">
        <v>404</v>
      </c>
      <c r="I292" t="s">
        <v>405</v>
      </c>
      <c r="M292" t="str">
        <f>IFERROR(Table1[[#This Row],[avg_score]]/Table1[[#This Row],[max_score]]*100,"")</f>
        <v/>
      </c>
      <c r="N292" t="str">
        <f>IFERROR(Table1[[#This Row],[std_score]]/Table1[[#This Row],[max_score]]*100,"")</f>
        <v/>
      </c>
    </row>
    <row r="293" spans="1:14" x14ac:dyDescent="0.3">
      <c r="A293" t="str">
        <f>_xlfn.CONCAT(Table1[[#This Row],[year]],Table1[[#This Row],[semester]],Table1[[#This Row],[moed]],Table1[[#This Row],[question]],Table1[[#This Row],[section]])</f>
        <v>2014ab2-c</v>
      </c>
      <c r="B293">
        <v>2014</v>
      </c>
      <c r="C293" t="s">
        <v>7</v>
      </c>
      <c r="D293" t="s">
        <v>8</v>
      </c>
      <c r="E293" t="s">
        <v>167</v>
      </c>
      <c r="H293" t="s">
        <v>406</v>
      </c>
      <c r="I293" t="s">
        <v>407</v>
      </c>
      <c r="M293" t="str">
        <f>IFERROR(Table1[[#This Row],[avg_score]]/Table1[[#This Row],[max_score]]*100,"")</f>
        <v/>
      </c>
      <c r="N293" t="str">
        <f>IFERROR(Table1[[#This Row],[std_score]]/Table1[[#This Row],[max_score]]*100,"")</f>
        <v/>
      </c>
    </row>
    <row r="294" spans="1:14" x14ac:dyDescent="0.3">
      <c r="A294" t="str">
        <f>_xlfn.CONCAT(Table1[[#This Row],[year]],Table1[[#This Row],[semester]],Table1[[#This Row],[moed]],Table1[[#This Row],[question]],Table1[[#This Row],[section]])</f>
        <v>2014ab2-d</v>
      </c>
      <c r="B294">
        <v>2014</v>
      </c>
      <c r="C294" t="s">
        <v>7</v>
      </c>
      <c r="D294" t="s">
        <v>8</v>
      </c>
      <c r="E294" t="s">
        <v>168</v>
      </c>
      <c r="H294" t="s">
        <v>408</v>
      </c>
      <c r="I294" t="s">
        <v>409</v>
      </c>
      <c r="M294" t="str">
        <f>IFERROR(Table1[[#This Row],[avg_score]]/Table1[[#This Row],[max_score]]*100,"")</f>
        <v/>
      </c>
      <c r="N294" t="str">
        <f>IFERROR(Table1[[#This Row],[std_score]]/Table1[[#This Row],[max_score]]*100,"")</f>
        <v/>
      </c>
    </row>
    <row r="295" spans="1:14" x14ac:dyDescent="0.3">
      <c r="A295" t="str">
        <f>_xlfn.CONCAT(Table1[[#This Row],[year]],Table1[[#This Row],[semester]],Table1[[#This Row],[moed]],Table1[[#This Row],[question]],Table1[[#This Row],[section]])</f>
        <v>2014ab3</v>
      </c>
      <c r="B295">
        <v>2014</v>
      </c>
      <c r="C295" t="s">
        <v>7</v>
      </c>
      <c r="D295" t="s">
        <v>8</v>
      </c>
      <c r="E295">
        <v>3</v>
      </c>
      <c r="G295">
        <v>32</v>
      </c>
      <c r="H295" t="s">
        <v>410</v>
      </c>
      <c r="I295" t="s">
        <v>411</v>
      </c>
      <c r="M295" t="str">
        <f>IFERROR(Table1[[#This Row],[avg_score]]/Table1[[#This Row],[max_score]]*100,"")</f>
        <v/>
      </c>
      <c r="N295" t="str">
        <f>IFERROR(Table1[[#This Row],[std_score]]/Table1[[#This Row],[max_score]]*100,"")</f>
        <v/>
      </c>
    </row>
    <row r="296" spans="1:14" x14ac:dyDescent="0.3">
      <c r="A296" t="str">
        <f>_xlfn.CONCAT(Table1[[#This Row],[year]],Table1[[#This Row],[semester]],Table1[[#This Row],[moed]],Table1[[#This Row],[question]],Table1[[#This Row],[section]])</f>
        <v>2014ab4-a</v>
      </c>
      <c r="B296">
        <v>2014</v>
      </c>
      <c r="C296" t="s">
        <v>7</v>
      </c>
      <c r="D296" t="s">
        <v>8</v>
      </c>
      <c r="E296" t="s">
        <v>173</v>
      </c>
      <c r="H296" t="s">
        <v>412</v>
      </c>
      <c r="I296" t="s">
        <v>413</v>
      </c>
      <c r="M296" t="str">
        <f>IFERROR(Table1[[#This Row],[avg_score]]/Table1[[#This Row],[max_score]]*100,"")</f>
        <v/>
      </c>
      <c r="N296" t="str">
        <f>IFERROR(Table1[[#This Row],[std_score]]/Table1[[#This Row],[max_score]]*100,"")</f>
        <v/>
      </c>
    </row>
    <row r="297" spans="1:14" x14ac:dyDescent="0.3">
      <c r="A297" t="str">
        <f>_xlfn.CONCAT(Table1[[#This Row],[year]],Table1[[#This Row],[semester]],Table1[[#This Row],[moed]],Table1[[#This Row],[question]],Table1[[#This Row],[section]])</f>
        <v>2014ab4-b</v>
      </c>
      <c r="B297">
        <v>2014</v>
      </c>
      <c r="C297" t="s">
        <v>7</v>
      </c>
      <c r="D297" t="s">
        <v>8</v>
      </c>
      <c r="E297" t="s">
        <v>174</v>
      </c>
      <c r="H297" t="s">
        <v>414</v>
      </c>
      <c r="I297" t="s">
        <v>415</v>
      </c>
      <c r="M297" t="str">
        <f>IFERROR(Table1[[#This Row],[avg_score]]/Table1[[#This Row],[max_score]]*100,"")</f>
        <v/>
      </c>
      <c r="N297" t="str">
        <f>IFERROR(Table1[[#This Row],[std_score]]/Table1[[#This Row],[max_score]]*100,"")</f>
        <v/>
      </c>
    </row>
    <row r="298" spans="1:14" x14ac:dyDescent="0.3">
      <c r="A298" t="str">
        <f>_xlfn.CONCAT(Table1[[#This Row],[year]],Table1[[#This Row],[semester]],Table1[[#This Row],[moed]],Table1[[#This Row],[question]],Table1[[#This Row],[section]])</f>
        <v>2014ab4-c</v>
      </c>
      <c r="B298">
        <v>2014</v>
      </c>
      <c r="C298" t="s">
        <v>7</v>
      </c>
      <c r="D298" t="s">
        <v>8</v>
      </c>
      <c r="E298" t="s">
        <v>175</v>
      </c>
      <c r="H298" t="s">
        <v>416</v>
      </c>
      <c r="I298" t="s">
        <v>417</v>
      </c>
      <c r="M298" t="str">
        <f>IFERROR(Table1[[#This Row],[avg_score]]/Table1[[#This Row],[max_score]]*100,"")</f>
        <v/>
      </c>
      <c r="N298" t="str">
        <f>IFERROR(Table1[[#This Row],[std_score]]/Table1[[#This Row],[max_score]]*100,"")</f>
        <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Soffer</dc:creator>
  <cp:lastModifiedBy>Lia Soffer</cp:lastModifiedBy>
  <dcterms:created xsi:type="dcterms:W3CDTF">2015-06-05T18:17:20Z</dcterms:created>
  <dcterms:modified xsi:type="dcterms:W3CDTF">2026-02-03T21:44:27Z</dcterms:modified>
</cp:coreProperties>
</file>